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aria\OneDrive\Imágenes\MAND\Inventario\"/>
    </mc:Choice>
  </mc:AlternateContent>
  <xr:revisionPtr revIDLastSave="0" documentId="13_ncr:1_{DAA29DC0-5E21-4819-B43E-BBEA4E8EBEAD}" xr6:coauthVersionLast="47" xr6:coauthVersionMax="47" xr10:uidLastSave="{00000000-0000-0000-0000-000000000000}"/>
  <bookViews>
    <workbookView xWindow="-108" yWindow="-108" windowWidth="23256" windowHeight="12456" activeTab="6" xr2:uid="{8E0E50A5-94E7-486E-9BFD-7488B7ECFC94}"/>
  </bookViews>
  <sheets>
    <sheet name="PULSERAS" sheetId="5" r:id="rId1"/>
    <sheet name="PINZAS" sheetId="4" r:id="rId2"/>
    <sheet name="ARETES" sheetId="1" r:id="rId3"/>
    <sheet name="COLLARES" sheetId="3" r:id="rId4"/>
    <sheet name="ROPA MUJER" sheetId="6" r:id="rId5"/>
    <sheet name="ROPA HOMBRE" sheetId="7" r:id="rId6"/>
    <sheet name="Encargos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5" l="1"/>
  <c r="B14" i="5"/>
</calcChain>
</file>

<file path=xl/sharedStrings.xml><?xml version="1.0" encoding="utf-8"?>
<sst xmlns="http://schemas.openxmlformats.org/spreadsheetml/2006/main" count="409" uniqueCount="230">
  <si>
    <t>Producto</t>
  </si>
  <si>
    <t>Material</t>
  </si>
  <si>
    <t>Precio de Original</t>
  </si>
  <si>
    <t>Precio de venta</t>
  </si>
  <si>
    <t>Pinza de Araña</t>
  </si>
  <si>
    <t>Aleación de Zinc</t>
  </si>
  <si>
    <t>Pinza de Dragon</t>
  </si>
  <si>
    <t>Collar de Perro</t>
  </si>
  <si>
    <t>Collar de Gato</t>
  </si>
  <si>
    <t>Collar de Luna</t>
  </si>
  <si>
    <t>Collar de Ballena</t>
  </si>
  <si>
    <t>Collar de Rosa Gotico</t>
  </si>
  <si>
    <t>Collar de Tulipan</t>
  </si>
  <si>
    <t>Pulsera de Luna</t>
  </si>
  <si>
    <t>Pinza de Flores</t>
  </si>
  <si>
    <t>Collar de Medusa</t>
  </si>
  <si>
    <t>Acero Inoxidable</t>
  </si>
  <si>
    <t>Detalles</t>
  </si>
  <si>
    <t>Diamante de imitacion</t>
  </si>
  <si>
    <t>Metal, Textura metal</t>
  </si>
  <si>
    <t>Perlas</t>
  </si>
  <si>
    <t xml:space="preserve"> Diamante de imitacion </t>
  </si>
  <si>
    <t>Textura Metal</t>
  </si>
  <si>
    <t>Vidrio</t>
  </si>
  <si>
    <t>Collar de Tortuga</t>
  </si>
  <si>
    <t>Sin especificacion</t>
  </si>
  <si>
    <t>Paquete de aretes rosa</t>
  </si>
  <si>
    <t>Plata de Ley 925</t>
  </si>
  <si>
    <t>Paquete de aretes morado</t>
  </si>
  <si>
    <t>Plata de Ley 926</t>
  </si>
  <si>
    <t>Aretes Flores Blancas</t>
  </si>
  <si>
    <t>ABS</t>
  </si>
  <si>
    <t>Especifiaciones extras</t>
  </si>
  <si>
    <t>Pareja con cadena de baloncesto</t>
  </si>
  <si>
    <t>Collar Serpiente</t>
  </si>
  <si>
    <t>Cadena Naipes</t>
  </si>
  <si>
    <t xml:space="preserve">Cadena Araña </t>
  </si>
  <si>
    <t>Cadena Serpiente</t>
  </si>
  <si>
    <t>Paquete de aretes de gatos</t>
  </si>
  <si>
    <t>Collar Flor Azul</t>
  </si>
  <si>
    <t>Collar Atrapasueños</t>
  </si>
  <si>
    <t>Metal, Diamante de imitacion</t>
  </si>
  <si>
    <t>Aretes Hoja Dorada</t>
  </si>
  <si>
    <t>Aretes de Flor con Abeja</t>
  </si>
  <si>
    <t>Flor, Metal</t>
  </si>
  <si>
    <t>Precio de venta individual</t>
  </si>
  <si>
    <t>Precio de venta Promo</t>
  </si>
  <si>
    <t>Stock</t>
  </si>
  <si>
    <t>Spiderman</t>
  </si>
  <si>
    <t>Curvi</t>
  </si>
  <si>
    <t>N</t>
  </si>
  <si>
    <t>Colores</t>
  </si>
  <si>
    <t>Negro</t>
  </si>
  <si>
    <t>96% Poliéster
4% Elastano
Elástico ligero
No transparente</t>
  </si>
  <si>
    <t>Blanco con Negro</t>
  </si>
  <si>
    <t>95% Poliéster
5% Elastano
Elástico ligero
No transparente</t>
  </si>
  <si>
    <t xml:space="preserve">95% Poliéster
5% Elastano
Elástico ligero
No transparente </t>
  </si>
  <si>
    <t>S</t>
  </si>
  <si>
    <t>Piezas</t>
  </si>
  <si>
    <t xml:space="preserve">95% Poliéster
5% Elastano
Estiramiento medio
No transparente </t>
  </si>
  <si>
    <t>Noche Estrellada</t>
  </si>
  <si>
    <t>Prenda</t>
  </si>
  <si>
    <t>Playera</t>
  </si>
  <si>
    <t>Top</t>
  </si>
  <si>
    <t>Blanco y Negro</t>
  </si>
  <si>
    <t>Coraline</t>
  </si>
  <si>
    <t>Blanco</t>
  </si>
  <si>
    <t>Tallas</t>
  </si>
  <si>
    <t>I'm Ok</t>
  </si>
  <si>
    <t>Negro, Blanco y Gris</t>
  </si>
  <si>
    <t>Camisa Premium Color-Block Spirit</t>
  </si>
  <si>
    <t>Caqui con Negro y Verde con Blanco</t>
  </si>
  <si>
    <t>100% Poliéster
No estira
No transparente</t>
  </si>
  <si>
    <t>Sudadera deportiva sin mangas</t>
  </si>
  <si>
    <t>Sudadera</t>
  </si>
  <si>
    <t>Negro, Blanco, Gris, Marino, Tinto y Verde militar</t>
  </si>
  <si>
    <t>Camistea de comprension Gym</t>
  </si>
  <si>
    <t>Comprension</t>
  </si>
  <si>
    <t>Negro y Blanco</t>
  </si>
  <si>
    <t>95% Poliéster
5% Elastano
Estiramiento medio
Semitransparente</t>
  </si>
  <si>
    <t>Playera Bicolor Dark Rose</t>
  </si>
  <si>
    <t>Gris con Negro</t>
  </si>
  <si>
    <t>96% Poliéster
6% Elastano
Estiramiento medio
No transparente</t>
  </si>
  <si>
    <t>Playera Best Cat Dad Ever</t>
  </si>
  <si>
    <t xml:space="preserve">Pinzas sencillas </t>
  </si>
  <si>
    <t>fresa, naranja, limon, flores, corazones y estrellas</t>
  </si>
  <si>
    <t>Top Versátil 3-en-1 "SHEIN MOD"</t>
  </si>
  <si>
    <t>Negro, Café y Vino</t>
  </si>
  <si>
    <t xml:space="preserve">92% Poliéster
8% Elastano
Estiramiento medio
No </t>
  </si>
  <si>
    <t>Aleacion de Zinc</t>
  </si>
  <si>
    <t>Brazalete de corazon</t>
  </si>
  <si>
    <t>Brazalete de delfin</t>
  </si>
  <si>
    <t>Playera Manfinity Homme</t>
  </si>
  <si>
    <t>Blanco con Negro y Gris</t>
  </si>
  <si>
    <t>95% Poliéster
5% Elastano
Elastico ligero
No transparente</t>
  </si>
  <si>
    <t>XG</t>
  </si>
  <si>
    <t>Playera Manga Larga</t>
  </si>
  <si>
    <t>95% Poliéster
5% Elastano
Estiramiento medio
No transparente</t>
  </si>
  <si>
    <t>M</t>
  </si>
  <si>
    <t xml:space="preserve"> Negro</t>
  </si>
  <si>
    <t>Playera Manga Corta</t>
  </si>
  <si>
    <t>GymBeat</t>
  </si>
  <si>
    <t>Pants</t>
  </si>
  <si>
    <t>100% Poliéster
Elastico ligero
No transparente</t>
  </si>
  <si>
    <t>G</t>
  </si>
  <si>
    <t>/</t>
  </si>
  <si>
    <t xml:space="preserve">Mono de tirantes de rayas </t>
  </si>
  <si>
    <t>Mono</t>
  </si>
  <si>
    <t xml:space="preserve">N </t>
  </si>
  <si>
    <t>Azul marino con rayas blancas</t>
  </si>
  <si>
    <t>Vestido corto con estampado</t>
  </si>
  <si>
    <t>Vestido</t>
  </si>
  <si>
    <t>Azul marino con estampado</t>
  </si>
  <si>
    <t>Mono de tirantes con estampado floral</t>
  </si>
  <si>
    <t>Negro con estapado floral</t>
  </si>
  <si>
    <t xml:space="preserve">100% Poliéster
No estiramiento 
No </t>
  </si>
  <si>
    <t xml:space="preserve">95% Poliéster
5% Elastano
No estiramiento
No </t>
  </si>
  <si>
    <t>Pasadores de diseño de frutas</t>
  </si>
  <si>
    <t>Multicolor</t>
  </si>
  <si>
    <t>Aleacion de Hierro</t>
  </si>
  <si>
    <t>Animal, Lazo, Flor</t>
  </si>
  <si>
    <t>Precio de promo</t>
  </si>
  <si>
    <t>Calcetines rosa</t>
  </si>
  <si>
    <t>Calcetas</t>
  </si>
  <si>
    <t>Rosa y blanco</t>
  </si>
  <si>
    <t>95% Poliéster
5% Spandex</t>
  </si>
  <si>
    <t>3 por 40</t>
  </si>
  <si>
    <t>36-39</t>
  </si>
  <si>
    <t>1</t>
  </si>
  <si>
    <t>Precio 1°</t>
  </si>
  <si>
    <t>Precio 2°</t>
  </si>
  <si>
    <t>Precio  1°</t>
  </si>
  <si>
    <t>Precio 2°+</t>
  </si>
  <si>
    <t>43.88, 38.30</t>
  </si>
  <si>
    <t>Precio Original</t>
  </si>
  <si>
    <t>6 pares</t>
  </si>
  <si>
    <t>3 pares</t>
  </si>
  <si>
    <t>Precio  2°+</t>
  </si>
  <si>
    <t>Pulsera minimalista de cristal</t>
  </si>
  <si>
    <t>azul marino</t>
  </si>
  <si>
    <t>Diamante de imitacion, piedra preciosoa, perlas</t>
  </si>
  <si>
    <t xml:space="preserve">ABS </t>
  </si>
  <si>
    <t>Brazalete de flores grandes</t>
  </si>
  <si>
    <t>rojo</t>
  </si>
  <si>
    <t>blanco</t>
  </si>
  <si>
    <t>Azul cielo</t>
  </si>
  <si>
    <t>Pulsera ojos</t>
  </si>
  <si>
    <t>azul</t>
  </si>
  <si>
    <t xml:space="preserve">Pulsera tulipan </t>
  </si>
  <si>
    <t>verde y rosa</t>
  </si>
  <si>
    <t>Pack</t>
  </si>
  <si>
    <t>Pulsera moda bohemia</t>
  </si>
  <si>
    <t>rosa,rojo,azul,naranja,negro y blanco</t>
  </si>
  <si>
    <t xml:space="preserve">Negro y morado </t>
  </si>
  <si>
    <t>28.56, 25.66</t>
  </si>
  <si>
    <t>Brazalete girasol</t>
  </si>
  <si>
    <t>Flor, Diamante de imitacion</t>
  </si>
  <si>
    <t>amarillo</t>
  </si>
  <si>
    <t>Cascadas de flores</t>
  </si>
  <si>
    <t>café,negro, beish, azul</t>
  </si>
  <si>
    <t>flor</t>
  </si>
  <si>
    <t>Policloruro de vinilo</t>
  </si>
  <si>
    <t>Pinza girasol</t>
  </si>
  <si>
    <t>Pinza flor con hojas</t>
  </si>
  <si>
    <t>planta</t>
  </si>
  <si>
    <t xml:space="preserve">Pinzas flores </t>
  </si>
  <si>
    <t>5 de 4 llegaron</t>
  </si>
  <si>
    <t>100% metal</t>
  </si>
  <si>
    <t>Collar Gota</t>
  </si>
  <si>
    <t>plata</t>
  </si>
  <si>
    <t>Collar Gatos</t>
  </si>
  <si>
    <t xml:space="preserve">Pareja </t>
  </si>
  <si>
    <t>dorado</t>
  </si>
  <si>
    <t>negro y plata</t>
  </si>
  <si>
    <t>playa y negro</t>
  </si>
  <si>
    <t>Collar Corazon rojo</t>
  </si>
  <si>
    <t>Manfinity Sport Corelite Sin mangas</t>
  </si>
  <si>
    <t>Camiseta</t>
  </si>
  <si>
    <t>100% Poliéster
Estiramiento ligero
No transparente</t>
  </si>
  <si>
    <t>Ottimozo camisa</t>
  </si>
  <si>
    <r>
      <t xml:space="preserve">Compresion dedortiva </t>
    </r>
    <r>
      <rPr>
        <i/>
        <sz val="11"/>
        <color theme="1"/>
        <rFont val="Aptos Narrow"/>
        <family val="2"/>
        <scheme val="minor"/>
      </rPr>
      <t>zhufeiyang</t>
    </r>
  </si>
  <si>
    <t>XXXL</t>
  </si>
  <si>
    <t>90% Poliéster
10% Elastano
Estiramiento medio
No transparente</t>
  </si>
  <si>
    <t>Calcetines oso</t>
  </si>
  <si>
    <t>Cafe y blanco</t>
  </si>
  <si>
    <t>97% Poliéster
3% Estalano</t>
  </si>
  <si>
    <t>Gris,, Rosa y blanco</t>
  </si>
  <si>
    <t>Calcetines chongmei</t>
  </si>
  <si>
    <t>100% Poliéster</t>
  </si>
  <si>
    <t>Calcetines Efentusc&amp;j</t>
  </si>
  <si>
    <t>Marron mocha con blanco</t>
  </si>
  <si>
    <t>35-41</t>
  </si>
  <si>
    <t>97% Algodon
3% Estalano</t>
  </si>
  <si>
    <t>Calcetines Blancos</t>
  </si>
  <si>
    <t>12y-16y</t>
  </si>
  <si>
    <t>100% Algodon</t>
  </si>
  <si>
    <t>Neon Dusk</t>
  </si>
  <si>
    <t>Blanco con negro</t>
  </si>
  <si>
    <t>Soleia</t>
  </si>
  <si>
    <t>Falda / Top</t>
  </si>
  <si>
    <t>Vestido Trelyra</t>
  </si>
  <si>
    <t>Blanco con azul</t>
  </si>
  <si>
    <t xml:space="preserve">95% Poliéster
5% Elastano
No Elástico
No transparente </t>
  </si>
  <si>
    <t>Nombre</t>
  </si>
  <si>
    <t>Olga</t>
  </si>
  <si>
    <t>Pulsera de Stich y Harry Poter</t>
  </si>
  <si>
    <t xml:space="preserve">Pulsera Ojo turco eslabones y mas anchos los ojos, mas larga </t>
  </si>
  <si>
    <t>Naty</t>
  </si>
  <si>
    <t>Jenny</t>
  </si>
  <si>
    <t>Pulseras rojas</t>
  </si>
  <si>
    <t>Luz</t>
  </si>
  <si>
    <t>general</t>
  </si>
  <si>
    <t>Pinzas pequeñas</t>
  </si>
  <si>
    <t>Bolsas Negras dias no rosas</t>
  </si>
  <si>
    <t>cascadas grandes</t>
  </si>
  <si>
    <t>playera algodón diseños bonitos g</t>
  </si>
  <si>
    <t>Artexa Bata preescolar</t>
  </si>
  <si>
    <t>Bata</t>
  </si>
  <si>
    <t>Naranja</t>
  </si>
  <si>
    <t>Pinzas perlas</t>
  </si>
  <si>
    <t>Negro, verde , rosa</t>
  </si>
  <si>
    <t>Pinzas flores Amour</t>
  </si>
  <si>
    <t>Blanco, Rojo y rosa</t>
  </si>
  <si>
    <t>TPR</t>
  </si>
  <si>
    <t>Cascadas normales</t>
  </si>
  <si>
    <t>Negro, Azul y Café</t>
  </si>
  <si>
    <t>Pinzas flores YiZhen chicas</t>
  </si>
  <si>
    <t>Pinzas flores YiZhen grandes</t>
  </si>
  <si>
    <t>Margarita</t>
  </si>
  <si>
    <t>Girasol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</si>
</sst>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$&quot;* #,##0.00_-;\-&quot;$&quot;* #,##0.00_-;_-&quot;$&quot;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156082"/>
      </left>
      <right/>
      <top style="thin">
        <color rgb="FF15608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4" fontId="0" fillId="0" borderId="0" xfId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4" fontId="0" fillId="0" borderId="0" xfId="0" applyNumberFormat="1" applyAlignment="1">
      <alignment horizontal="center" vertical="center"/>
    </xf>
    <xf numFmtId="44" fontId="0" fillId="0" borderId="0" xfId="0" applyNumberFormat="1"/>
    <xf numFmtId="44" fontId="0" fillId="0" borderId="0" xfId="0" applyNumberFormat="1" applyAlignment="1">
      <alignment horizontal="center" vertical="center" wrapText="1"/>
    </xf>
    <xf numFmtId="49" fontId="0" fillId="0" borderId="0" xfId="0" applyNumberFormat="1"/>
    <xf numFmtId="49" fontId="0" fillId="0" borderId="0" xfId="1" applyNumberFormat="1" applyFont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0" fillId="0" borderId="0" xfId="1" applyNumberFormat="1" applyFont="1" applyBorder="1" applyAlignment="1">
      <alignment horizontal="center" vertical="center"/>
    </xf>
    <xf numFmtId="0" fontId="0" fillId="0" borderId="0" xfId="1" applyNumberFormat="1" applyFont="1" applyAlignment="1">
      <alignment horizontal="center" vertical="center"/>
    </xf>
    <xf numFmtId="0" fontId="0" fillId="0" borderId="0" xfId="0" applyAlignment="1">
      <alignment wrapText="1"/>
    </xf>
    <xf numFmtId="49" fontId="0" fillId="0" borderId="0" xfId="1" applyNumberFormat="1" applyFont="1" applyAlignment="1">
      <alignment horizontal="center" vertical="center" wrapText="1"/>
    </xf>
    <xf numFmtId="44" fontId="0" fillId="0" borderId="0" xfId="1" applyFont="1" applyAlignment="1">
      <alignment horizontal="center" vertical="center" wrapText="1"/>
    </xf>
    <xf numFmtId="0" fontId="0" fillId="0" borderId="0" xfId="1" applyNumberFormat="1" applyFont="1" applyAlignment="1">
      <alignment horizontal="center" vertical="center" wrapText="1"/>
    </xf>
    <xf numFmtId="49" fontId="0" fillId="2" borderId="0" xfId="0" applyNumberFormat="1" applyFill="1" applyAlignment="1">
      <alignment horizontal="center" vertical="center" wrapText="1"/>
    </xf>
    <xf numFmtId="44" fontId="0" fillId="2" borderId="0" xfId="1" applyFont="1" applyFill="1" applyAlignment="1">
      <alignment horizontal="center" vertical="center" wrapText="1"/>
    </xf>
    <xf numFmtId="49" fontId="0" fillId="2" borderId="0" xfId="1" applyNumberFormat="1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1" applyNumberFormat="1" applyFont="1" applyFill="1" applyAlignment="1">
      <alignment horizontal="center" vertical="center" wrapText="1"/>
    </xf>
    <xf numFmtId="44" fontId="4" fillId="3" borderId="2" xfId="0" applyNumberFormat="1" applyFont="1" applyFill="1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center" vertical="center" wrapText="1"/>
    </xf>
    <xf numFmtId="49" fontId="0" fillId="4" borderId="0" xfId="0" applyNumberFormat="1" applyFill="1" applyAlignment="1">
      <alignment horizontal="center" vertical="center" wrapText="1"/>
    </xf>
    <xf numFmtId="44" fontId="0" fillId="4" borderId="0" xfId="1" applyFont="1" applyFill="1" applyAlignment="1">
      <alignment horizontal="center" vertical="center" wrapText="1"/>
    </xf>
    <xf numFmtId="49" fontId="0" fillId="4" borderId="0" xfId="1" applyNumberFormat="1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0" xfId="1" applyNumberFormat="1" applyFont="1" applyFill="1" applyAlignment="1">
      <alignment horizontal="center" vertical="center" wrapText="1"/>
    </xf>
    <xf numFmtId="0" fontId="0" fillId="4" borderId="0" xfId="0" applyFill="1"/>
    <xf numFmtId="49" fontId="0" fillId="5" borderId="0" xfId="0" applyNumberFormat="1" applyFill="1" applyAlignment="1">
      <alignment horizontal="center" vertical="center" wrapText="1"/>
    </xf>
    <xf numFmtId="44" fontId="0" fillId="5" borderId="0" xfId="1" applyFont="1" applyFill="1" applyAlignment="1">
      <alignment horizontal="center" vertical="center" wrapText="1"/>
    </xf>
    <xf numFmtId="49" fontId="0" fillId="5" borderId="0" xfId="1" applyNumberFormat="1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5" borderId="0" xfId="1" applyNumberFormat="1" applyFont="1" applyFill="1" applyAlignment="1">
      <alignment horizontal="center" vertical="center" wrapText="1"/>
    </xf>
    <xf numFmtId="0" fontId="0" fillId="5" borderId="0" xfId="0" applyFill="1"/>
    <xf numFmtId="49" fontId="0" fillId="5" borderId="0" xfId="0" applyNumberFormat="1" applyFill="1" applyAlignment="1">
      <alignment horizontal="center" vertical="center"/>
    </xf>
    <xf numFmtId="44" fontId="0" fillId="5" borderId="0" xfId="1" applyFont="1" applyFill="1" applyAlignment="1">
      <alignment horizontal="center" vertical="center"/>
    </xf>
    <xf numFmtId="49" fontId="0" fillId="0" borderId="2" xfId="0" applyNumberFormat="1" applyBorder="1" applyAlignment="1">
      <alignment horizontal="center" vertical="center" wrapText="1"/>
    </xf>
    <xf numFmtId="44" fontId="0" fillId="0" borderId="2" xfId="1" applyFont="1" applyBorder="1" applyAlignment="1">
      <alignment horizontal="center" vertical="center" wrapText="1"/>
    </xf>
    <xf numFmtId="49" fontId="0" fillId="0" borderId="2" xfId="1" applyNumberFormat="1" applyFont="1" applyBorder="1" applyAlignment="1">
      <alignment horizontal="center" vertical="center" wrapText="1"/>
    </xf>
    <xf numFmtId="0" fontId="0" fillId="0" borderId="2" xfId="1" applyNumberFormat="1" applyFont="1" applyBorder="1" applyAlignment="1">
      <alignment horizontal="center" vertical="center" wrapText="1"/>
    </xf>
    <xf numFmtId="49" fontId="0" fillId="5" borderId="2" xfId="0" applyNumberFormat="1" applyFill="1" applyBorder="1" applyAlignment="1">
      <alignment horizontal="center" vertical="center" wrapText="1"/>
    </xf>
    <xf numFmtId="44" fontId="0" fillId="5" borderId="2" xfId="1" applyFont="1" applyFill="1" applyBorder="1" applyAlignment="1">
      <alignment horizontal="center" vertical="center" wrapText="1"/>
    </xf>
    <xf numFmtId="49" fontId="0" fillId="5" borderId="2" xfId="1" applyNumberFormat="1" applyFont="1" applyFill="1" applyBorder="1" applyAlignment="1">
      <alignment horizontal="center" vertical="center" wrapText="1"/>
    </xf>
    <xf numFmtId="0" fontId="0" fillId="5" borderId="2" xfId="1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0" fillId="5" borderId="0" xfId="1" applyNumberFormat="1" applyFont="1" applyFill="1" applyBorder="1" applyAlignment="1">
      <alignment horizontal="center" vertical="center" wrapText="1"/>
    </xf>
    <xf numFmtId="44" fontId="0" fillId="0" borderId="2" xfId="1" applyFont="1" applyFill="1" applyBorder="1" applyAlignment="1">
      <alignment horizontal="center" vertical="center" wrapText="1"/>
    </xf>
    <xf numFmtId="49" fontId="0" fillId="0" borderId="2" xfId="1" applyNumberFormat="1" applyFont="1" applyFill="1" applyBorder="1" applyAlignment="1">
      <alignment horizontal="center" vertical="center" wrapText="1"/>
    </xf>
    <xf numFmtId="0" fontId="0" fillId="0" borderId="2" xfId="1" applyNumberFormat="1" applyFont="1" applyFill="1" applyBorder="1" applyAlignment="1">
      <alignment horizontal="center" vertical="center" wrapText="1"/>
    </xf>
    <xf numFmtId="2" fontId="0" fillId="0" borderId="2" xfId="1" applyNumberFormat="1" applyFont="1" applyBorder="1" applyAlignment="1">
      <alignment horizontal="center" vertical="center" wrapText="1"/>
    </xf>
    <xf numFmtId="44" fontId="0" fillId="0" borderId="0" xfId="1" applyFont="1" applyFill="1" applyAlignment="1">
      <alignment horizontal="center" vertical="center"/>
    </xf>
    <xf numFmtId="49" fontId="0" fillId="0" borderId="0" xfId="1" applyNumberFormat="1" applyFont="1" applyFill="1" applyAlignment="1">
      <alignment horizontal="center" vertical="center"/>
    </xf>
    <xf numFmtId="0" fontId="0" fillId="0" borderId="0" xfId="1" applyNumberFormat="1" applyFont="1" applyFill="1" applyAlignment="1">
      <alignment horizontal="center" vertical="center"/>
    </xf>
    <xf numFmtId="44" fontId="0" fillId="0" borderId="0" xfId="1" applyFont="1" applyFill="1" applyAlignment="1">
      <alignment horizontal="center" vertical="center" wrapText="1"/>
    </xf>
    <xf numFmtId="49" fontId="0" fillId="0" borderId="0" xfId="1" applyNumberFormat="1" applyFont="1" applyFill="1" applyBorder="1" applyAlignment="1">
      <alignment horizontal="center" vertical="center" wrapText="1"/>
    </xf>
    <xf numFmtId="0" fontId="0" fillId="0" borderId="0" xfId="1" applyNumberFormat="1" applyFont="1" applyFill="1" applyAlignment="1">
      <alignment horizontal="center" vertical="center" wrapText="1"/>
    </xf>
    <xf numFmtId="49" fontId="0" fillId="0" borderId="0" xfId="1" applyNumberFormat="1" applyFont="1" applyFill="1" applyAlignment="1">
      <alignment horizontal="center" vertical="center" wrapText="1"/>
    </xf>
    <xf numFmtId="0" fontId="0" fillId="2" borderId="0" xfId="0" applyFill="1"/>
    <xf numFmtId="44" fontId="0" fillId="5" borderId="0" xfId="0" applyNumberFormat="1" applyFill="1" applyAlignment="1">
      <alignment horizontal="center" vertical="center" wrapText="1"/>
    </xf>
    <xf numFmtId="2" fontId="0" fillId="5" borderId="2" xfId="1" applyNumberFormat="1" applyFont="1" applyFill="1" applyBorder="1" applyAlignment="1">
      <alignment horizontal="center" vertical="center" wrapText="1"/>
    </xf>
    <xf numFmtId="49" fontId="0" fillId="2" borderId="2" xfId="0" applyNumberFormat="1" applyFill="1" applyBorder="1" applyAlignment="1">
      <alignment horizontal="center" vertical="center" wrapText="1"/>
    </xf>
    <xf numFmtId="44" fontId="0" fillId="2" borderId="2" xfId="1" applyFont="1" applyFill="1" applyBorder="1" applyAlignment="1">
      <alignment horizontal="center" vertical="center" wrapText="1"/>
    </xf>
    <xf numFmtId="49" fontId="0" fillId="2" borderId="2" xfId="1" applyNumberFormat="1" applyFont="1" applyFill="1" applyBorder="1" applyAlignment="1">
      <alignment horizontal="center" vertical="center" wrapText="1"/>
    </xf>
    <xf numFmtId="2" fontId="0" fillId="2" borderId="2" xfId="1" applyNumberFormat="1" applyFont="1" applyFill="1" applyBorder="1" applyAlignment="1">
      <alignment horizontal="center" vertical="center" wrapText="1"/>
    </xf>
    <xf numFmtId="0" fontId="0" fillId="2" borderId="2" xfId="1" applyNumberFormat="1" applyFont="1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2" fontId="0" fillId="0" borderId="2" xfId="1" applyNumberFormat="1" applyFont="1" applyFill="1" applyBorder="1" applyAlignment="1">
      <alignment horizontal="center" vertical="center" wrapText="1"/>
    </xf>
    <xf numFmtId="44" fontId="0" fillId="2" borderId="0" xfId="0" applyNumberFormat="1" applyFill="1" applyAlignment="1">
      <alignment horizontal="center" vertical="center" wrapText="1"/>
    </xf>
    <xf numFmtId="0" fontId="0" fillId="5" borderId="0" xfId="1" applyNumberFormat="1" applyFont="1" applyFill="1" applyAlignment="1">
      <alignment horizontal="center" vertical="center"/>
    </xf>
  </cellXfs>
  <cellStyles count="2">
    <cellStyle name="Moneda" xfId="1" builtinId="4"/>
    <cellStyle name="Normal" xfId="0" builtinId="0"/>
  </cellStyles>
  <dxfs count="115">
    <dxf>
      <font>
        <color theme="5" tint="-0.499984740745262"/>
      </font>
      <fill>
        <patternFill>
          <bgColor theme="5" tint="0.59996337778862885"/>
        </patternFill>
      </fill>
    </dxf>
    <dxf>
      <font>
        <color theme="2" tint="-0.749961851863155"/>
      </font>
      <fill>
        <patternFill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24994659260841701"/>
      </font>
      <fill>
        <patternFill>
          <bgColor theme="8" tint="0.59996337778862885"/>
        </patternFill>
      </fill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color theme="5" tint="-0.499984740745262"/>
      </font>
      <fill>
        <patternFill>
          <bgColor theme="5" tint="0.59996337778862885"/>
        </patternFill>
      </fill>
    </dxf>
    <dxf>
      <font>
        <color theme="2" tint="-0.749961851863155"/>
      </font>
      <fill>
        <patternFill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24994659260841701"/>
      </font>
      <fill>
        <patternFill>
          <bgColor theme="8" tint="0.59996337778862885"/>
        </patternFill>
      </fill>
    </dxf>
    <dxf>
      <font>
        <color theme="5" tint="-0.499984740745262"/>
      </font>
      <fill>
        <patternFill>
          <bgColor theme="5" tint="0.59996337778862885"/>
        </patternFill>
      </fill>
    </dxf>
    <dxf>
      <font>
        <color theme="2" tint="-0.749961851863155"/>
      </font>
      <fill>
        <patternFill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24994659260841701"/>
      </font>
      <fill>
        <patternFill>
          <bgColor theme="8" tint="0.59996337778862885"/>
        </patternFill>
      </fill>
    </dxf>
    <dxf>
      <font>
        <color theme="5" tint="-0.499984740745262"/>
      </font>
      <fill>
        <patternFill>
          <bgColor theme="5" tint="0.59996337778862885"/>
        </patternFill>
      </fill>
    </dxf>
    <dxf>
      <font>
        <color theme="2" tint="-0.749961851863155"/>
      </font>
      <fill>
        <patternFill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24994659260841701"/>
      </font>
      <fill>
        <patternFill>
          <bgColor theme="8" tint="0.59996337778862885"/>
        </patternFill>
      </fill>
    </dxf>
    <dxf>
      <font>
        <color theme="5" tint="-0.499984740745262"/>
      </font>
      <fill>
        <patternFill>
          <bgColor theme="5" tint="0.59996337778862885"/>
        </patternFill>
      </fill>
    </dxf>
    <dxf>
      <font>
        <color theme="2" tint="-0.749961851863155"/>
      </font>
      <fill>
        <patternFill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24994659260841701"/>
      </font>
      <fill>
        <patternFill>
          <bgColor theme="8" tint="0.59996337778862885"/>
        </patternFill>
      </fill>
    </dxf>
    <dxf>
      <font>
        <color theme="5" tint="-0.499984740745262"/>
      </font>
      <fill>
        <patternFill>
          <bgColor theme="5" tint="0.59996337778862885"/>
        </patternFill>
      </fill>
    </dxf>
    <dxf>
      <font>
        <color theme="2" tint="-0.749961851863155"/>
      </font>
      <fill>
        <patternFill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24994659260841701"/>
      </font>
      <fill>
        <patternFill>
          <bgColor theme="8" tint="0.59996337778862885"/>
        </patternFill>
      </fill>
    </dxf>
    <dxf>
      <alignment horizontal="center" vertical="center" textRotation="0" indent="0" justifyLastLine="0" shrinkToFit="0" readingOrder="0"/>
    </dxf>
    <dxf>
      <numFmt numFmtId="34" formatCode="_-&quot;$&quot;* #,##0.00_-;\-&quot;$&quot;* #,##0.00_-;_-&quot;$&quot;* &quot;-&quot;??_-;_-@_-"/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numFmt numFmtId="34" formatCode="_-&quot;$&quot;* #,##0.00_-;\-&quot;$&quot;* #,##0.00_-;_-&quot;$&quot;* &quot;-&quot;??_-;_-@_-"/>
      <alignment horizontal="center" vertical="center" textRotation="0" wrapText="1" indent="0" justifyLastLine="0" shrinkToFit="0" readingOrder="0"/>
    </dxf>
    <dxf>
      <numFmt numFmtId="34" formatCode="_-&quot;$&quot;* #,##0.00_-;\-&quot;$&quot;* #,##0.00_-;_-&quot;$&quot;* &quot;-&quot;??_-;_-@_-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$&quot;* #,##0.00_-;\-&quot;$&quot;* #,##0.00_-;_-&quot;$&quot;* &quot;-&quot;??_-;_-@_-"/>
      <alignment horizontal="center" vertical="center" textRotation="0" wrapText="1" indent="0" justifyLastLine="0" shrinkToFit="0" readingOrder="0"/>
    </dxf>
    <dxf>
      <numFmt numFmtId="34" formatCode="_-&quot;$&quot;* #,##0.00_-;\-&quot;$&quot;* #,##0.00_-;_-&quot;$&quot;* &quot;-&quot;??_-;_-@_-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numFmt numFmtId="0" formatCode="General"/>
      <fill>
        <patternFill patternType="solid">
          <fgColor indexed="64"/>
          <bgColor rgb="FF92D050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numFmt numFmtId="34" formatCode="_-&quot;$&quot;* #,##0.00_-;\-&quot;$&quot;* #,##0.00_-;_-&quot;$&quot;* &quot;-&quot;??_-;_-@_-"/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34" formatCode="_-&quot;$&quot;* #,##0.00_-;\-&quot;$&quot;* #,##0.00_-;_-&quot;$&quot;* &quot;-&quot;??_-;_-@_-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$&quot;* #,##0.00_-;\-&quot;$&quot;* #,##0.00_-;_-&quot;$&quot;* &quot;-&quot;??_-;_-@_-"/>
      <alignment horizontal="center" vertical="center" textRotation="0" wrapText="1" indent="0" justifyLastLine="0" shrinkToFit="0" readingOrder="0"/>
    </dxf>
    <dxf>
      <numFmt numFmtId="34" formatCode="_-&quot;$&quot;* #,##0.00_-;\-&quot;$&quot;* #,##0.00_-;_-&quot;$&quot;* &quot;-&quot;??_-;_-@_-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numFmt numFmtId="34" formatCode="_-&quot;$&quot;* #,##0.00_-;\-&quot;$&quot;* #,##0.00_-;_-&quot;$&quot;* &quot;-&quot;??_-;_-@_-"/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numFmt numFmtId="34" formatCode="_-&quot;$&quot;* #,##0.00_-;\-&quot;$&quot;* #,##0.00_-;_-&quot;$&quot;* &quot;-&quot;??_-;_-@_-"/>
      <alignment horizontal="center" vertical="center" textRotation="0" wrapText="1" indent="0" justifyLastLine="0" shrinkToFit="0" readingOrder="0"/>
    </dxf>
    <dxf>
      <numFmt numFmtId="34" formatCode="_-&quot;$&quot;* #,##0.00_-;\-&quot;$&quot;* #,##0.00_-;_-&quot;$&quot;* &quot;-&quot;??_-;_-@_-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$&quot;* #,##0.00_-;\-&quot;$&quot;* #,##0.00_-;_-&quot;$&quot;* &quot;-&quot;??_-;_-@_-"/>
      <alignment horizontal="center" vertical="center" textRotation="0" wrapText="1" indent="0" justifyLastLine="0" shrinkToFit="0" readingOrder="0"/>
    </dxf>
    <dxf>
      <numFmt numFmtId="34" formatCode="_-&quot;$&quot;* #,##0.00_-;\-&quot;$&quot;* #,##0.00_-;_-&quot;$&quot;* &quot;-&quot;??_-;_-@_-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numFmt numFmtId="30" formatCode="@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numFmt numFmtId="34" formatCode="_-&quot;$&quot;* #,##0.00_-;\-&quot;$&quot;* #,##0.00_-;_-&quot;$&quot;* &quot;-&quot;??_-;_-@_-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numFmt numFmtId="34" formatCode="_-&quot;$&quot;* #,##0.00_-;\-&quot;$&quot;* #,##0.00_-;_-&quot;$&quot;* &quot;-&quot;??_-;_-@_-"/>
      <alignment horizontal="center" vertical="center" textRotation="0" indent="0" justifyLastLine="0" shrinkToFit="0" readingOrder="0"/>
    </dxf>
    <dxf>
      <numFmt numFmtId="34" formatCode="_-&quot;$&quot;* #,##0.00_-;\-&quot;$&quot;* #,##0.00_-;_-&quot;$&quot;* &quot;-&quot;??_-;_-@_-"/>
      <alignment horizontal="center" vertical="center" textRotation="0" indent="0" justifyLastLine="0" shrinkToFit="0" readingOrder="0"/>
    </dxf>
    <dxf>
      <numFmt numFmtId="30" formatCode="@"/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indent="0" justifyLastLine="0" shrinkToFit="0" readingOrder="0"/>
    </dxf>
    <dxf>
      <numFmt numFmtId="34" formatCode="_-&quot;$&quot;* #,##0.00_-;\-&quot;$&quot;* #,##0.00_-;_-&quot;$&quot;* &quot;-&quot;??_-;_-@_-"/>
      <alignment horizontal="center" vertical="center" textRotation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>
          <bgColor theme="7" tint="0.79998168889431442"/>
        </patternFill>
      </fill>
    </dxf>
  </dxfs>
  <tableStyles count="1" defaultTableStyle="TableStyleMedium2" defaultPivotStyle="PivotStyleLight16">
    <tableStyle name="Estilo de tabla 1" pivot="0" count="1" xr9:uid="{31C9C408-4EF9-494D-B587-0E448C9BFA4F}">
      <tableStyleElement type="secondRowStripe" dxfId="114"/>
    </tableStyle>
  </tableStyles>
  <colors>
    <mruColors>
      <color rgb="FFFFC8A3"/>
      <color rgb="FFAC8300"/>
      <color rgb="FFFFDF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42A44BB-BF59-42AC-BC56-D9E78FC6CF81}" name="Tabla14" displayName="Tabla14" ref="B2:L18" headerRowDxfId="19" dataDxfId="18" totalsRowDxfId="17">
  <autoFilter ref="B2:L18" xr:uid="{6267FE83-8910-46AF-B221-005534479709}"/>
  <sortState xmlns:xlrd2="http://schemas.microsoft.com/office/spreadsheetml/2017/richdata2" ref="B3:H7">
    <sortCondition ref="G2:G7"/>
  </sortState>
  <tableColumns count="11">
    <tableColumn id="1" xr3:uid="{E6179318-267E-4BA5-88F7-55E47169D1C2}" name="Producto" totalsRowLabel="Total" dataDxfId="16"/>
    <tableColumn id="17" xr3:uid="{CB3DECB7-46A3-4D33-8D89-3BAFADCD1E3D}" name="Especifiaciones extras" dataDxfId="15"/>
    <tableColumn id="2" xr3:uid="{493B95D4-45B6-4075-81F9-A5C8C648347E}" name="Precio de Original" dataDxfId="14" dataCellStyle="Moneda"/>
    <tableColumn id="7" xr3:uid="{1B9FF58A-5A6F-4F07-BA09-16F0BAF86CD0}" name="Precio  1°" dataDxfId="13" dataCellStyle="Moneda"/>
    <tableColumn id="3" xr3:uid="{594E5C02-B7F1-459B-86BC-53C66BCB61A4}" name="Precio 2°+" dataDxfId="12" dataCellStyle="Moneda"/>
    <tableColumn id="6" xr3:uid="{E3484CE2-F903-42BF-A079-F4F37E7485CB}" name="Detalles" dataDxfId="11" dataCellStyle="Moneda"/>
    <tableColumn id="4" xr3:uid="{B0EE9C70-2B5F-48ED-9818-B385AC3CF9EE}" name="Material" dataDxfId="10"/>
    <tableColumn id="10" xr3:uid="{C974DCF0-0A36-4DCF-8ADF-03EC1626E69E}" name="Piezas" dataDxfId="9"/>
    <tableColumn id="9" xr3:uid="{89345679-33C1-4AF4-A814-EC424B0A83EB}" name="Stock" dataDxfId="8"/>
    <tableColumn id="5" xr3:uid="{9C451566-487F-4A59-ABB3-4F85C3197C6B}" name="Precio de venta" totalsRowFunction="count" dataDxfId="7" dataCellStyle="Moneda"/>
    <tableColumn id="8" xr3:uid="{7E500A80-3D34-4D5C-9920-A9CFD3F259C3}" name="Precio de promo" dataDxfId="5" totalsRowDxfId="6" dataCellStyle="Moneda"/>
  </tableColumns>
  <tableStyleInfo name="TableStyleLight9"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67FE83-8910-46AF-B221-005534479709}" name="Tabla1" displayName="Tabla1" ref="B2:L9" headerRowDxfId="113" dataDxfId="112" totalsRowDxfId="111">
  <autoFilter ref="B2:L9" xr:uid="{6267FE83-8910-46AF-B221-005534479709}"/>
  <sortState xmlns:xlrd2="http://schemas.microsoft.com/office/spreadsheetml/2017/richdata2" ref="B3:I9">
    <sortCondition ref="H2:H9"/>
  </sortState>
  <tableColumns count="11">
    <tableColumn id="1" xr3:uid="{0A888D41-A31E-473C-8A3E-35E8652E236A}" name="Producto" totalsRowLabel="Total" dataDxfId="110"/>
    <tableColumn id="17" xr3:uid="{7F3072D7-B7AE-4500-A06F-8D963A1A8505}" name="Especifiaciones extras" dataDxfId="109"/>
    <tableColumn id="2" xr3:uid="{7A30CBBE-D63E-4300-A0CA-F116FADA1C3F}" name="Precio de Original" dataDxfId="108" dataCellStyle="Moneda"/>
    <tableColumn id="7" xr3:uid="{BAB1EAA1-F972-4B9F-8F51-D28C29991B02}" name="Precio 1°" dataDxfId="107" dataCellStyle="Moneda"/>
    <tableColumn id="3" xr3:uid="{107B8421-F670-40AC-8607-7EB141E02C50}" name="Precio 2°" dataDxfId="106" dataCellStyle="Moneda"/>
    <tableColumn id="6" xr3:uid="{CFEC37EF-292E-455E-B31F-0FD57EC3C187}" name="Detalles" dataDxfId="105" dataCellStyle="Moneda"/>
    <tableColumn id="4" xr3:uid="{33038CAD-E8BA-4BA3-A779-408F8E9B4461}" name="Material" dataDxfId="104"/>
    <tableColumn id="5" xr3:uid="{5D76D787-D927-40CF-90B4-8122D491AC30}" name="Precio de venta individual" totalsRowFunction="count" dataDxfId="103" dataCellStyle="Moneda"/>
    <tableColumn id="8" xr3:uid="{C5647706-42AF-480E-833D-69C8005850C9}" name="Precio de venta Promo" dataDxfId="102" totalsRowDxfId="101" dataCellStyle="Moneda"/>
    <tableColumn id="9" xr3:uid="{093A0F26-071F-4913-8162-2D29F6224E8B}" name="Stock" dataDxfId="100" totalsRowDxfId="99" dataCellStyle="Moneda"/>
    <tableColumn id="10" xr3:uid="{567F0E5A-1E9B-479D-A3FB-6BA9DF103AB3}" name="Piezas" dataDxfId="98" totalsRowDxfId="97" dataCellStyle="Moneda"/>
  </tableColumns>
  <tableStyleInfo name="TableStyleLight9" showFirstColumn="0" showLastColumn="0" showRowStripes="1" showColumnStripes="1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8BA1DD-D637-4A90-8433-B34F6242BD4C}" name="Tabla13" displayName="Tabla13" ref="B2:L19" headerRowDxfId="96" dataDxfId="95" totalsRowDxfId="94">
  <autoFilter ref="B2:L19" xr:uid="{6267FE83-8910-46AF-B221-005534479709}"/>
  <sortState xmlns:xlrd2="http://schemas.microsoft.com/office/spreadsheetml/2017/richdata2" ref="B3:H17">
    <sortCondition ref="G2:G17"/>
  </sortState>
  <tableColumns count="11">
    <tableColumn id="1" xr3:uid="{A6F80E7B-8DC8-4FEB-8517-B9F68E7EF134}" name="Producto" totalsRowLabel="Total" dataDxfId="93"/>
    <tableColumn id="17" xr3:uid="{6FC44031-BBC3-4870-AB6F-EC59E549CE11}" name="Especifiaciones extras" dataDxfId="92"/>
    <tableColumn id="2" xr3:uid="{9C727332-C190-4097-968D-B5B8BBD28151}" name="Precio Original" dataDxfId="91" dataCellStyle="Moneda"/>
    <tableColumn id="7" xr3:uid="{C1A9C063-6D42-46F6-BBFB-2F6CEE016641}" name="Precio 1°" dataDxfId="90" dataCellStyle="Moneda"/>
    <tableColumn id="3" xr3:uid="{52947956-CDC2-4EEE-BA40-A63A572462CB}" name="Precio  2°+" dataDxfId="89" dataCellStyle="Moneda"/>
    <tableColumn id="6" xr3:uid="{9394F1B5-6475-4C10-86CF-5DB562743096}" name="Detalles" dataDxfId="88" dataCellStyle="Moneda"/>
    <tableColumn id="4" xr3:uid="{85440D44-B662-4C28-A313-27C900230916}" name="Material" dataDxfId="87"/>
    <tableColumn id="5" xr3:uid="{C4B525C4-407D-4BCF-AB13-FC87175E8825}" name="Precio de venta individual" totalsRowFunction="count" dataDxfId="86" dataCellStyle="Moneda"/>
    <tableColumn id="9" xr3:uid="{46D91142-7A30-4868-A292-36D8C12B971A}" name="Precio de venta Promo" dataDxfId="85" totalsRowDxfId="84" dataCellStyle="Moneda"/>
    <tableColumn id="10" xr3:uid="{CEECA0DF-2F67-4824-865E-234C4B2E3A4C}" name="Stock" dataDxfId="83" totalsRowDxfId="82" dataCellStyle="Moneda"/>
    <tableColumn id="8" xr3:uid="{614C3C4D-D196-415F-B6FB-14D35DA8EF11}" name="Piezas" dataDxfId="81" totalsRowDxfId="80" dataCellStyle="Moneda"/>
  </tableColumns>
  <tableStyleInfo name="TableStyleLight9" showFirstColumn="0" showLastColumn="0" showRowStripes="1" showColumnStripes="1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88785A7-E493-4FC4-AD31-033A17E46E55}" name="Tabla136" displayName="Tabla136" ref="B2:M18" headerRowDxfId="79" dataDxfId="78" totalsRowDxfId="77">
  <autoFilter ref="B2:M18" xr:uid="{6267FE83-8910-46AF-B221-005534479709}"/>
  <sortState xmlns:xlrd2="http://schemas.microsoft.com/office/spreadsheetml/2017/richdata2" ref="B3:I4">
    <sortCondition ref="H2:H4"/>
  </sortState>
  <tableColumns count="12">
    <tableColumn id="1" xr3:uid="{8AC5A17D-901B-44FF-BE54-7C5FB1C618FE}" name="Producto" totalsRowLabel="Total" dataDxfId="76"/>
    <tableColumn id="12" xr3:uid="{1B32A4FC-B840-41D6-BD47-B47184BF55FC}" name="Prenda" dataDxfId="75"/>
    <tableColumn id="17" xr3:uid="{0CE8191D-C309-4923-869A-AF8D051D6EFA}" name="Curvi" dataDxfId="74"/>
    <tableColumn id="2" xr3:uid="{5B85DBE7-CF35-46C7-AAEA-517432D13F1F}" name="Precio Original" dataDxfId="73" dataCellStyle="Moneda"/>
    <tableColumn id="7" xr3:uid="{E9D0099C-20C1-4328-9792-D8196DB6A7E2}" name="Precio  1°" dataDxfId="72" dataCellStyle="Moneda"/>
    <tableColumn id="3" xr3:uid="{C172C351-0A2D-4669-A803-C52D2305DE1E}" name="Colores" dataDxfId="71" dataCellStyle="Moneda"/>
    <tableColumn id="6" xr3:uid="{FEAA6617-55B1-4252-9F9E-64844ED197E8}" name="Material" dataDxfId="70" dataCellStyle="Moneda"/>
    <tableColumn id="4" xr3:uid="{0B682205-51C1-4180-8EE7-D279F60CE498}" name="Piezas" dataDxfId="69"/>
    <tableColumn id="5" xr3:uid="{F845DF8C-71EA-4793-8CA0-C967535F242C}" name="Precio de venta individual" totalsRowFunction="count" dataDxfId="68" dataCellStyle="Moneda"/>
    <tableColumn id="16" xr3:uid="{FA7D5D21-E864-4741-B74A-4E282F7317AD}" name="Tallas" dataDxfId="67" totalsRowDxfId="66" dataCellStyle="Moneda"/>
    <tableColumn id="10" xr3:uid="{C86F01B4-B2E2-499C-90D7-6C737D80E558}" name="Stock" dataDxfId="65" totalsRowDxfId="64" dataCellStyle="Moneda"/>
    <tableColumn id="11" xr3:uid="{6C2BA700-7DD7-4CA2-99B7-313483E88B6B}" name="Precio de promo" dataDxfId="63" totalsRowDxfId="62" dataCellStyle="Moneda"/>
  </tableColumns>
  <tableStyleInfo name="TableStyleLight9" showFirstColumn="0" showLastColumn="0" showRowStripes="1" showColumnStripes="1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C7A5A1D-19C3-4446-9D28-670E97DCCF2D}" name="Tabla1367" displayName="Tabla1367" ref="B2:L14" headerRowDxfId="61" dataDxfId="60" totalsRowDxfId="59">
  <autoFilter ref="B2:L14" xr:uid="{6267FE83-8910-46AF-B221-005534479709}"/>
  <sortState xmlns:xlrd2="http://schemas.microsoft.com/office/spreadsheetml/2017/richdata2" ref="B3:H3">
    <sortCondition ref="G2:G3"/>
  </sortState>
  <tableColumns count="11">
    <tableColumn id="1" xr3:uid="{AE49EC88-CB5C-482B-ACC9-200C4B66C4FD}" name="Producto" totalsRowLabel="Total" dataDxfId="58"/>
    <tableColumn id="12" xr3:uid="{22632C9B-4D47-406D-95FC-A97EC0BDA9FF}" name="Prenda" dataDxfId="57"/>
    <tableColumn id="2" xr3:uid="{EB5130A2-F8FF-4F95-BFC1-FD038CDC993D}" name="Precio Original" dataDxfId="56" dataCellStyle="Moneda"/>
    <tableColumn id="7" xr3:uid="{D8CE487A-9BA5-4575-8753-6F16A347E8F9}" name="Precio  1°" dataDxfId="55" dataCellStyle="Moneda"/>
    <tableColumn id="3" xr3:uid="{4F682126-AB89-47D8-B038-FB84FB14F040}" name="Colores" dataDxfId="54" dataCellStyle="Moneda"/>
    <tableColumn id="6" xr3:uid="{29F0E4C3-1408-41E9-9716-738292096416}" name="Material" dataDxfId="53" dataCellStyle="Moneda"/>
    <tableColumn id="4" xr3:uid="{DE6B63EE-91CF-41B5-B889-7F2E69405203}" name="Piezas" dataDxfId="52"/>
    <tableColumn id="5" xr3:uid="{D6E175BF-6481-4C16-B8B2-47CCE27455D7}" name="Precio de venta individual" totalsRowFunction="count" dataDxfId="51" dataCellStyle="Moneda"/>
    <tableColumn id="9" xr3:uid="{FEB37A40-7F89-421B-B6B7-9F0ADB695C91}" name="Precio de venta Promo" dataDxfId="50" totalsRowDxfId="49" dataCellStyle="Moneda"/>
    <tableColumn id="16" xr3:uid="{163CF27B-2768-47EF-9DAF-194F7444B8DD}" name="Tallas" dataDxfId="48" totalsRowDxfId="47" dataCellStyle="Moneda"/>
    <tableColumn id="10" xr3:uid="{FB1EEA36-EAFD-48C7-9906-5B9E18F6868A}" name="Stock" dataDxfId="46" totalsRowDxfId="45" dataCellStyle="Moneda"/>
  </tableColumns>
  <tableStyleInfo name="TableStyleLight9" showFirstColumn="0" showLastColumn="0" showRowStripes="1" showColumnStripes="1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EA86E-A599-4AA8-A45D-BDE1EDC57F45}">
  <dimension ref="B2:L14"/>
  <sheetViews>
    <sheetView workbookViewId="0">
      <selection activeCell="D22" sqref="D22"/>
    </sheetView>
  </sheetViews>
  <sheetFormatPr baseColWidth="10" defaultRowHeight="14.4" x14ac:dyDescent="0.3"/>
  <cols>
    <col min="2" max="2" width="28.77734375" customWidth="1"/>
    <col min="3" max="3" width="23" customWidth="1"/>
    <col min="4" max="5" width="13" customWidth="1"/>
    <col min="6" max="6" width="11.109375" customWidth="1"/>
    <col min="7" max="7" width="27.109375" customWidth="1"/>
    <col min="8" max="8" width="19.77734375" customWidth="1"/>
    <col min="9" max="9" width="15.33203125" customWidth="1"/>
    <col min="10" max="10" width="16.109375" customWidth="1"/>
    <col min="11" max="11" width="14.88671875" customWidth="1"/>
  </cols>
  <sheetData>
    <row r="2" spans="2:12" s="14" customFormat="1" ht="28.8" x14ac:dyDescent="0.3">
      <c r="B2" s="24" t="s">
        <v>0</v>
      </c>
      <c r="C2" s="24" t="s">
        <v>32</v>
      </c>
      <c r="D2" s="23" t="s">
        <v>134</v>
      </c>
      <c r="E2" s="23" t="s">
        <v>131</v>
      </c>
      <c r="F2" s="23" t="s">
        <v>137</v>
      </c>
      <c r="G2" s="24" t="s">
        <v>17</v>
      </c>
      <c r="H2" s="24" t="s">
        <v>1</v>
      </c>
      <c r="I2" s="23" t="s">
        <v>45</v>
      </c>
      <c r="J2" s="23" t="s">
        <v>150</v>
      </c>
      <c r="K2" s="23" t="s">
        <v>47</v>
      </c>
    </row>
    <row r="3" spans="2:12" s="14" customFormat="1" ht="28.8" x14ac:dyDescent="0.3">
      <c r="B3" s="39" t="s">
        <v>13</v>
      </c>
      <c r="C3" s="39" t="s">
        <v>145</v>
      </c>
      <c r="D3" s="49">
        <v>56</v>
      </c>
      <c r="E3" s="49">
        <v>28.6</v>
      </c>
      <c r="F3" s="49" t="s">
        <v>154</v>
      </c>
      <c r="G3" s="50" t="s">
        <v>22</v>
      </c>
      <c r="H3" s="39" t="s">
        <v>23</v>
      </c>
      <c r="I3" s="49">
        <v>50</v>
      </c>
      <c r="J3" s="70">
        <v>1</v>
      </c>
      <c r="K3" s="51">
        <v>0</v>
      </c>
    </row>
    <row r="4" spans="2:12" x14ac:dyDescent="0.3">
      <c r="B4" s="39" t="s">
        <v>13</v>
      </c>
      <c r="C4" s="39" t="s">
        <v>153</v>
      </c>
      <c r="D4" s="40">
        <v>50</v>
      </c>
      <c r="E4" s="40">
        <v>25.12</v>
      </c>
      <c r="F4" s="40">
        <v>0</v>
      </c>
      <c r="G4" s="41" t="s">
        <v>22</v>
      </c>
      <c r="H4" s="39" t="s">
        <v>23</v>
      </c>
      <c r="I4" s="40">
        <v>50</v>
      </c>
      <c r="J4" s="52">
        <v>1</v>
      </c>
      <c r="K4" s="42">
        <v>0</v>
      </c>
    </row>
    <row r="5" spans="2:12" x14ac:dyDescent="0.3">
      <c r="B5" s="39" t="s">
        <v>90</v>
      </c>
      <c r="C5" s="39" t="s">
        <v>118</v>
      </c>
      <c r="D5" s="49">
        <v>39</v>
      </c>
      <c r="E5" s="49">
        <v>16.7</v>
      </c>
      <c r="F5" s="40">
        <v>0</v>
      </c>
      <c r="G5" s="50"/>
      <c r="H5" s="39" t="s">
        <v>89</v>
      </c>
      <c r="I5" s="49">
        <v>30</v>
      </c>
      <c r="J5" s="52">
        <v>1</v>
      </c>
      <c r="K5" s="51">
        <v>0</v>
      </c>
    </row>
    <row r="6" spans="2:12" s="60" customFormat="1" x14ac:dyDescent="0.3">
      <c r="B6" s="63" t="s">
        <v>91</v>
      </c>
      <c r="C6" s="63" t="s">
        <v>144</v>
      </c>
      <c r="D6" s="64">
        <v>70</v>
      </c>
      <c r="E6" s="64">
        <v>31.53</v>
      </c>
      <c r="F6" s="64">
        <v>30.3</v>
      </c>
      <c r="G6" s="65" t="s">
        <v>18</v>
      </c>
      <c r="H6" s="63" t="s">
        <v>16</v>
      </c>
      <c r="I6" s="64">
        <v>55</v>
      </c>
      <c r="J6" s="66">
        <v>1</v>
      </c>
      <c r="K6" s="67">
        <v>1</v>
      </c>
    </row>
    <row r="7" spans="2:12" ht="28.8" x14ac:dyDescent="0.3">
      <c r="B7" s="39" t="s">
        <v>138</v>
      </c>
      <c r="C7" s="39" t="s">
        <v>139</v>
      </c>
      <c r="D7" s="49">
        <v>42</v>
      </c>
      <c r="E7" s="49">
        <v>16.489999999999998</v>
      </c>
      <c r="F7" s="49">
        <v>0</v>
      </c>
      <c r="G7" s="50" t="s">
        <v>140</v>
      </c>
      <c r="H7" s="39" t="s">
        <v>141</v>
      </c>
      <c r="I7" s="49">
        <v>40</v>
      </c>
      <c r="J7" s="70">
        <v>1</v>
      </c>
      <c r="K7" s="51">
        <v>0</v>
      </c>
    </row>
    <row r="8" spans="2:12" x14ac:dyDescent="0.3">
      <c r="B8" s="39" t="s">
        <v>142</v>
      </c>
      <c r="C8" s="39" t="s">
        <v>143</v>
      </c>
      <c r="D8" s="49">
        <v>69</v>
      </c>
      <c r="E8" s="49">
        <v>35.26</v>
      </c>
      <c r="F8" s="49">
        <v>0</v>
      </c>
      <c r="G8" s="50" t="s">
        <v>44</v>
      </c>
      <c r="H8" s="39" t="s">
        <v>16</v>
      </c>
      <c r="I8" s="49">
        <v>60</v>
      </c>
      <c r="J8" s="70">
        <v>1</v>
      </c>
      <c r="K8" s="51">
        <v>0</v>
      </c>
    </row>
    <row r="9" spans="2:12" x14ac:dyDescent="0.3">
      <c r="B9" s="39" t="s">
        <v>146</v>
      </c>
      <c r="C9" s="39" t="s">
        <v>147</v>
      </c>
      <c r="D9" s="49">
        <v>58</v>
      </c>
      <c r="E9" s="49">
        <v>30.94</v>
      </c>
      <c r="F9" s="49">
        <v>0</v>
      </c>
      <c r="G9" s="50"/>
      <c r="H9" s="39" t="s">
        <v>16</v>
      </c>
      <c r="I9" s="49">
        <v>50</v>
      </c>
      <c r="J9" s="70">
        <v>1</v>
      </c>
      <c r="K9" s="51">
        <v>0</v>
      </c>
    </row>
    <row r="10" spans="2:12" x14ac:dyDescent="0.3">
      <c r="B10" s="39" t="s">
        <v>148</v>
      </c>
      <c r="C10" s="39" t="s">
        <v>149</v>
      </c>
      <c r="D10" s="49">
        <v>50</v>
      </c>
      <c r="E10" s="49">
        <v>24.12</v>
      </c>
      <c r="F10" s="49">
        <v>0</v>
      </c>
      <c r="G10" s="50"/>
      <c r="H10" s="39" t="s">
        <v>23</v>
      </c>
      <c r="I10" s="49">
        <v>30</v>
      </c>
      <c r="J10" s="70">
        <v>1</v>
      </c>
      <c r="K10" s="51">
        <v>0</v>
      </c>
    </row>
    <row r="11" spans="2:12" ht="28.8" x14ac:dyDescent="0.3">
      <c r="B11" s="43" t="s">
        <v>151</v>
      </c>
      <c r="C11" s="43" t="s">
        <v>152</v>
      </c>
      <c r="D11" s="44">
        <v>128</v>
      </c>
      <c r="E11" s="44">
        <v>61.82</v>
      </c>
      <c r="F11" s="44">
        <v>0</v>
      </c>
      <c r="G11" s="45" t="s">
        <v>18</v>
      </c>
      <c r="H11" s="43" t="s">
        <v>141</v>
      </c>
      <c r="I11" s="44">
        <v>30</v>
      </c>
      <c r="J11" s="62">
        <v>6</v>
      </c>
      <c r="K11" s="46">
        <v>2</v>
      </c>
      <c r="L11" s="7">
        <f>I11*(6)</f>
        <v>180</v>
      </c>
    </row>
    <row r="12" spans="2:12" x14ac:dyDescent="0.3">
      <c r="B12" s="39" t="s">
        <v>155</v>
      </c>
      <c r="C12" s="39" t="s">
        <v>157</v>
      </c>
      <c r="D12" s="49">
        <v>109</v>
      </c>
      <c r="E12" s="49">
        <v>52.54</v>
      </c>
      <c r="F12" s="49">
        <v>0</v>
      </c>
      <c r="G12" s="50" t="s">
        <v>156</v>
      </c>
      <c r="H12" s="39" t="s">
        <v>16</v>
      </c>
      <c r="I12" s="49">
        <v>80</v>
      </c>
      <c r="J12" s="70">
        <v>1</v>
      </c>
      <c r="K12" s="51">
        <v>0</v>
      </c>
    </row>
    <row r="14" spans="2:12" x14ac:dyDescent="0.3">
      <c r="B14" s="7">
        <f>-I7+I8+I9+I10+I12+I3+L11</f>
        <v>410</v>
      </c>
    </row>
  </sheetData>
  <phoneticPr fontId="3" type="noConversion"/>
  <conditionalFormatting sqref="B3:K12">
    <cfRule type="containsText" dxfId="44" priority="1" operator="containsText" text="Cadena">
      <formula>NOT(ISERROR(SEARCH("Cadena",B3)))</formula>
    </cfRule>
    <cfRule type="containsText" dxfId="43" priority="2" operator="containsText" text="Zinc">
      <formula>NOT(ISERROR(SEARCH("Zinc",B3)))</formula>
    </cfRule>
    <cfRule type="containsText" dxfId="42" priority="3" operator="containsText" text="Acero">
      <formula>NOT(ISERROR(SEARCH("Acero",B3)))</formula>
    </cfRule>
    <cfRule type="containsText" dxfId="41" priority="4" operator="containsText" text="Pinza">
      <formula>NOT(ISERROR(SEARCH("Pinza",B3)))</formula>
    </cfRule>
    <cfRule type="containsText" dxfId="40" priority="5" operator="containsText" text="Collar">
      <formula>NOT(ISERROR(SEARCH("Collar",B3)))</formula>
    </cfRule>
  </conditionalFormatting>
  <conditionalFormatting sqref="K3:K12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{CAD5BF36-6E00-4014-81F7-8E8C0F3CCF24}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AD5BF36-6E00-4014-81F7-8E8C0F3CCF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F1FE9-F326-4DCC-B8F5-26C429E4DF7D}">
  <dimension ref="B2:L18"/>
  <sheetViews>
    <sheetView workbookViewId="0">
      <selection activeCell="F20" sqref="F20"/>
    </sheetView>
  </sheetViews>
  <sheetFormatPr baseColWidth="10" defaultRowHeight="14.4" x14ac:dyDescent="0.3"/>
  <cols>
    <col min="2" max="2" width="23" customWidth="1"/>
    <col min="3" max="3" width="24.44140625" customWidth="1"/>
    <col min="4" max="4" width="16.21875" customWidth="1"/>
    <col min="5" max="5" width="10.88671875" customWidth="1"/>
    <col min="6" max="6" width="9.6640625" customWidth="1"/>
    <col min="7" max="7" width="23" customWidth="1"/>
    <col min="8" max="8" width="26.33203125" customWidth="1"/>
    <col min="9" max="9" width="16" customWidth="1"/>
    <col min="10" max="10" width="14.77734375" customWidth="1"/>
    <col min="11" max="11" width="16" customWidth="1"/>
  </cols>
  <sheetData>
    <row r="2" spans="2:12" s="14" customFormat="1" ht="28.8" x14ac:dyDescent="0.3">
      <c r="B2" s="5" t="s">
        <v>0</v>
      </c>
      <c r="C2" s="5" t="s">
        <v>32</v>
      </c>
      <c r="D2" s="2" t="s">
        <v>2</v>
      </c>
      <c r="E2" s="5" t="s">
        <v>131</v>
      </c>
      <c r="F2" s="2" t="s">
        <v>132</v>
      </c>
      <c r="G2" s="5" t="s">
        <v>17</v>
      </c>
      <c r="H2" s="5" t="s">
        <v>1</v>
      </c>
      <c r="I2" s="5" t="s">
        <v>58</v>
      </c>
      <c r="J2" s="5" t="s">
        <v>47</v>
      </c>
      <c r="K2" s="2" t="s">
        <v>3</v>
      </c>
      <c r="L2" s="2" t="s">
        <v>121</v>
      </c>
    </row>
    <row r="3" spans="2:12" ht="28.8" x14ac:dyDescent="0.3">
      <c r="B3" s="4" t="s">
        <v>4</v>
      </c>
      <c r="C3" s="4"/>
      <c r="D3" s="3">
        <v>96</v>
      </c>
      <c r="E3" s="3">
        <v>70.349999999999994</v>
      </c>
      <c r="F3" s="15" t="s">
        <v>133</v>
      </c>
      <c r="G3" s="12" t="s">
        <v>20</v>
      </c>
      <c r="H3" s="4" t="s">
        <v>5</v>
      </c>
      <c r="I3" s="1">
        <v>1</v>
      </c>
      <c r="J3" s="1">
        <v>0</v>
      </c>
      <c r="K3" s="3">
        <v>150</v>
      </c>
      <c r="L3" s="3"/>
    </row>
    <row r="4" spans="2:12" x14ac:dyDescent="0.3">
      <c r="B4" s="4" t="s">
        <v>6</v>
      </c>
      <c r="C4" s="4"/>
      <c r="D4" s="3">
        <v>94</v>
      </c>
      <c r="E4" s="3">
        <v>72.03</v>
      </c>
      <c r="F4" s="3">
        <v>0</v>
      </c>
      <c r="G4" s="11" t="s">
        <v>21</v>
      </c>
      <c r="H4" s="4" t="s">
        <v>5</v>
      </c>
      <c r="I4" s="1">
        <v>1</v>
      </c>
      <c r="J4" s="1">
        <v>0</v>
      </c>
      <c r="K4" s="3">
        <v>100</v>
      </c>
      <c r="L4" s="3"/>
    </row>
    <row r="5" spans="2:12" x14ac:dyDescent="0.3">
      <c r="B5" s="4" t="s">
        <v>14</v>
      </c>
      <c r="C5" s="4"/>
      <c r="D5" s="53">
        <v>99</v>
      </c>
      <c r="E5" s="53">
        <v>58.04</v>
      </c>
      <c r="F5" s="53">
        <v>44.72</v>
      </c>
      <c r="G5" s="11" t="s">
        <v>21</v>
      </c>
      <c r="H5" s="4" t="s">
        <v>5</v>
      </c>
      <c r="I5" s="1">
        <v>1</v>
      </c>
      <c r="J5" s="1">
        <v>0</v>
      </c>
      <c r="K5" s="53">
        <v>80</v>
      </c>
      <c r="L5" s="53"/>
    </row>
    <row r="6" spans="2:12" ht="28.8" x14ac:dyDescent="0.3">
      <c r="B6" s="4" t="s">
        <v>84</v>
      </c>
      <c r="C6" s="5" t="s">
        <v>85</v>
      </c>
      <c r="D6" s="6">
        <v>133</v>
      </c>
      <c r="E6" s="3">
        <v>46.75</v>
      </c>
      <c r="F6" s="3">
        <v>0</v>
      </c>
      <c r="G6" s="4"/>
      <c r="H6" s="4" t="s">
        <v>31</v>
      </c>
      <c r="I6" s="1">
        <v>6</v>
      </c>
      <c r="J6" s="1">
        <v>0</v>
      </c>
      <c r="K6" s="6">
        <v>25</v>
      </c>
      <c r="L6" s="3"/>
    </row>
    <row r="7" spans="2:12" ht="28.8" x14ac:dyDescent="0.3">
      <c r="B7" s="5" t="s">
        <v>117</v>
      </c>
      <c r="C7" s="4" t="s">
        <v>118</v>
      </c>
      <c r="D7" s="6">
        <v>122</v>
      </c>
      <c r="E7" s="53">
        <v>47.12</v>
      </c>
      <c r="F7" s="53">
        <v>0</v>
      </c>
      <c r="G7" s="4" t="s">
        <v>120</v>
      </c>
      <c r="H7" s="4" t="s">
        <v>119</v>
      </c>
      <c r="I7" s="1">
        <v>20</v>
      </c>
      <c r="J7" s="1">
        <v>0</v>
      </c>
      <c r="K7" s="6">
        <v>10</v>
      </c>
      <c r="L7" s="53">
        <v>0</v>
      </c>
    </row>
    <row r="8" spans="2:12" x14ac:dyDescent="0.3">
      <c r="B8" s="4" t="s">
        <v>158</v>
      </c>
      <c r="C8" s="4" t="s">
        <v>159</v>
      </c>
      <c r="D8" s="53">
        <v>103</v>
      </c>
      <c r="E8" s="53">
        <v>55.67</v>
      </c>
      <c r="F8" s="53">
        <v>0</v>
      </c>
      <c r="G8" s="54" t="s">
        <v>160</v>
      </c>
      <c r="H8" s="4" t="s">
        <v>161</v>
      </c>
      <c r="I8" s="1">
        <v>4</v>
      </c>
      <c r="J8" s="1">
        <v>0</v>
      </c>
      <c r="K8" s="53">
        <v>15</v>
      </c>
      <c r="L8" s="53"/>
    </row>
    <row r="9" spans="2:12" x14ac:dyDescent="0.3">
      <c r="B9" s="4" t="s">
        <v>162</v>
      </c>
      <c r="C9" s="4"/>
      <c r="D9" s="53">
        <v>96</v>
      </c>
      <c r="E9" s="53">
        <v>49.31</v>
      </c>
      <c r="F9" s="53">
        <v>0</v>
      </c>
      <c r="G9" s="54" t="s">
        <v>160</v>
      </c>
      <c r="H9" s="4" t="s">
        <v>89</v>
      </c>
      <c r="I9" s="1">
        <v>1</v>
      </c>
      <c r="J9" s="1">
        <v>0</v>
      </c>
      <c r="K9" s="53">
        <v>100</v>
      </c>
      <c r="L9" s="53"/>
    </row>
    <row r="10" spans="2:12" x14ac:dyDescent="0.3">
      <c r="B10" s="4" t="s">
        <v>163</v>
      </c>
      <c r="C10" s="4"/>
      <c r="D10" s="53">
        <v>83</v>
      </c>
      <c r="E10" s="53">
        <v>42.74</v>
      </c>
      <c r="F10" s="53">
        <v>0</v>
      </c>
      <c r="G10" s="54" t="s">
        <v>164</v>
      </c>
      <c r="H10" s="4" t="s">
        <v>89</v>
      </c>
      <c r="I10" s="1">
        <v>1</v>
      </c>
      <c r="J10" s="1">
        <v>0</v>
      </c>
      <c r="K10" s="53">
        <v>80</v>
      </c>
      <c r="L10" s="53"/>
    </row>
    <row r="11" spans="2:12" x14ac:dyDescent="0.3">
      <c r="B11" s="4" t="s">
        <v>165</v>
      </c>
      <c r="C11" s="4" t="s">
        <v>166</v>
      </c>
      <c r="D11" s="53">
        <v>92</v>
      </c>
      <c r="E11" s="53">
        <v>47.33</v>
      </c>
      <c r="F11" s="53">
        <v>0</v>
      </c>
      <c r="G11" s="54" t="s">
        <v>167</v>
      </c>
      <c r="H11" s="4" t="s">
        <v>89</v>
      </c>
      <c r="I11" s="1">
        <v>5</v>
      </c>
      <c r="J11" s="1">
        <v>0</v>
      </c>
      <c r="K11" s="53">
        <v>15</v>
      </c>
      <c r="L11" s="53"/>
    </row>
    <row r="12" spans="2:12" s="36" customFormat="1" x14ac:dyDescent="0.3">
      <c r="B12" s="37" t="s">
        <v>219</v>
      </c>
      <c r="C12" s="37"/>
      <c r="D12" s="38">
        <v>73</v>
      </c>
      <c r="E12" s="38">
        <v>31.59</v>
      </c>
      <c r="F12" s="38">
        <v>0</v>
      </c>
      <c r="G12" s="69" t="s">
        <v>21</v>
      </c>
      <c r="H12" s="37" t="s">
        <v>89</v>
      </c>
      <c r="I12" s="68">
        <v>5</v>
      </c>
      <c r="J12" s="68">
        <v>5</v>
      </c>
      <c r="K12" s="38">
        <v>10</v>
      </c>
      <c r="L12" s="38"/>
    </row>
    <row r="13" spans="2:12" s="36" customFormat="1" x14ac:dyDescent="0.3">
      <c r="B13" s="37" t="s">
        <v>227</v>
      </c>
      <c r="C13" s="37" t="s">
        <v>220</v>
      </c>
      <c r="D13" s="38">
        <v>138</v>
      </c>
      <c r="E13" s="38">
        <v>65.040000000000006</v>
      </c>
      <c r="F13" s="38">
        <v>0</v>
      </c>
      <c r="G13" s="72"/>
      <c r="H13" s="37" t="s">
        <v>89</v>
      </c>
      <c r="I13" s="68">
        <v>3</v>
      </c>
      <c r="J13" s="68">
        <v>3</v>
      </c>
      <c r="K13" s="38">
        <v>0</v>
      </c>
      <c r="L13" s="38"/>
    </row>
    <row r="14" spans="2:12" x14ac:dyDescent="0.3">
      <c r="B14" s="4" t="s">
        <v>226</v>
      </c>
      <c r="C14" s="4" t="s">
        <v>220</v>
      </c>
      <c r="D14" s="53">
        <v>98</v>
      </c>
      <c r="E14" s="53">
        <v>46.37</v>
      </c>
      <c r="F14" s="53">
        <v>0</v>
      </c>
      <c r="G14" s="72">
        <v>1752551</v>
      </c>
      <c r="H14" s="4" t="s">
        <v>89</v>
      </c>
      <c r="I14" s="1">
        <v>3</v>
      </c>
      <c r="J14" s="1">
        <v>3</v>
      </c>
      <c r="K14" s="53">
        <v>0</v>
      </c>
      <c r="L14" s="53"/>
    </row>
    <row r="15" spans="2:12" x14ac:dyDescent="0.3">
      <c r="B15" s="4" t="s">
        <v>221</v>
      </c>
      <c r="C15" s="4" t="s">
        <v>222</v>
      </c>
      <c r="D15" s="53">
        <v>101</v>
      </c>
      <c r="E15" s="53">
        <v>42.17</v>
      </c>
      <c r="F15" s="53">
        <v>0</v>
      </c>
      <c r="G15" s="55"/>
      <c r="H15" s="4" t="s">
        <v>223</v>
      </c>
      <c r="I15" s="1">
        <v>3</v>
      </c>
      <c r="J15" s="1">
        <v>3</v>
      </c>
      <c r="K15" s="53">
        <v>0</v>
      </c>
      <c r="L15" s="53"/>
    </row>
    <row r="16" spans="2:12" x14ac:dyDescent="0.3">
      <c r="B16" s="4" t="s">
        <v>221</v>
      </c>
      <c r="C16" s="4" t="s">
        <v>228</v>
      </c>
      <c r="D16" s="53">
        <v>54</v>
      </c>
      <c r="E16" s="53">
        <v>25.3</v>
      </c>
      <c r="F16" s="53">
        <v>0</v>
      </c>
      <c r="G16" s="54"/>
      <c r="H16" s="4" t="s">
        <v>223</v>
      </c>
      <c r="I16" s="1">
        <v>1</v>
      </c>
      <c r="J16" s="1">
        <v>1</v>
      </c>
      <c r="K16" s="53">
        <v>0</v>
      </c>
      <c r="L16" s="53"/>
    </row>
    <row r="17" spans="2:12" x14ac:dyDescent="0.3">
      <c r="B17" s="4" t="s">
        <v>221</v>
      </c>
      <c r="C17" s="4" t="s">
        <v>229</v>
      </c>
      <c r="D17" s="53">
        <v>53</v>
      </c>
      <c r="E17" s="53">
        <v>25.3</v>
      </c>
      <c r="F17" s="53">
        <v>0</v>
      </c>
      <c r="G17" s="54"/>
      <c r="H17" s="4" t="s">
        <v>223</v>
      </c>
      <c r="I17" s="1">
        <v>1</v>
      </c>
      <c r="J17" s="1">
        <v>1</v>
      </c>
      <c r="K17" s="53">
        <v>0</v>
      </c>
      <c r="L17" s="53"/>
    </row>
    <row r="18" spans="2:12" x14ac:dyDescent="0.3">
      <c r="B18" s="4" t="s">
        <v>224</v>
      </c>
      <c r="C18" s="4" t="s">
        <v>225</v>
      </c>
      <c r="D18" s="53">
        <v>90</v>
      </c>
      <c r="E18" s="53">
        <v>42.17</v>
      </c>
      <c r="F18" s="53">
        <v>0</v>
      </c>
      <c r="G18" s="54"/>
      <c r="H18" s="4" t="s">
        <v>31</v>
      </c>
      <c r="I18" s="1">
        <v>3</v>
      </c>
      <c r="J18" s="1">
        <v>3</v>
      </c>
      <c r="K18" s="53">
        <v>0</v>
      </c>
      <c r="L18" s="53"/>
    </row>
  </sheetData>
  <phoneticPr fontId="3" type="noConversion"/>
  <conditionalFormatting sqref="J3:J1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{44EB77DA-C20D-4B94-8ABA-2B156697B12A}</x14:id>
        </ext>
      </extLst>
    </cfRule>
  </conditionalFormatting>
  <conditionalFormatting sqref="J3:K5 L3:L11 K6:K7 J7 K8:L18 B3:I18">
    <cfRule type="containsText" dxfId="4" priority="2" operator="containsText" text="Cadena">
      <formula>NOT(ISERROR(SEARCH("Cadena",B3)))</formula>
    </cfRule>
    <cfRule type="containsText" dxfId="3" priority="3" operator="containsText" text="Zinc">
      <formula>NOT(ISERROR(SEARCH("Zinc",B3)))</formula>
    </cfRule>
    <cfRule type="containsText" dxfId="2" priority="4" operator="containsText" text="Acero">
      <formula>NOT(ISERROR(SEARCH("Acero",B3)))</formula>
    </cfRule>
    <cfRule type="containsText" dxfId="1" priority="5" operator="containsText" text="Pinza">
      <formula>NOT(ISERROR(SEARCH("Pinza",B3)))</formula>
    </cfRule>
    <cfRule type="containsText" dxfId="0" priority="6" operator="containsText" text="Collar">
      <formula>NOT(ISERROR(SEARCH("Collar",B3)))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4EB77DA-C20D-4B94-8ABA-2B156697B1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J3:J18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A41ED-278F-45B2-9FD8-CAA8BA4D47EA}">
  <dimension ref="B2:L9"/>
  <sheetViews>
    <sheetView workbookViewId="0">
      <selection activeCell="E20" sqref="E20"/>
    </sheetView>
  </sheetViews>
  <sheetFormatPr baseColWidth="10" defaultRowHeight="14.4" x14ac:dyDescent="0.3"/>
  <cols>
    <col min="2" max="2" width="23" style="9" customWidth="1"/>
    <col min="3" max="3" width="24.44140625" style="9" customWidth="1"/>
    <col min="4" max="4" width="21.44140625" style="7" customWidth="1"/>
    <col min="5" max="5" width="13.6640625" customWidth="1"/>
    <col min="6" max="6" width="12.33203125" customWidth="1"/>
    <col min="7" max="7" width="23" style="9" customWidth="1"/>
    <col min="8" max="8" width="26.33203125" style="9" customWidth="1"/>
    <col min="9" max="9" width="17.44140625" style="7" customWidth="1"/>
    <col min="10" max="10" width="16" customWidth="1"/>
  </cols>
  <sheetData>
    <row r="2" spans="2:12" s="14" customFormat="1" ht="28.8" x14ac:dyDescent="0.3">
      <c r="B2" s="5" t="s">
        <v>0</v>
      </c>
      <c r="C2" s="5" t="s">
        <v>32</v>
      </c>
      <c r="D2" s="8" t="s">
        <v>2</v>
      </c>
      <c r="E2" s="2" t="s">
        <v>129</v>
      </c>
      <c r="F2" s="2" t="s">
        <v>130</v>
      </c>
      <c r="G2" s="5" t="s">
        <v>17</v>
      </c>
      <c r="H2" s="5" t="s">
        <v>1</v>
      </c>
      <c r="I2" s="8" t="s">
        <v>45</v>
      </c>
      <c r="J2" s="8" t="s">
        <v>46</v>
      </c>
      <c r="K2" s="8" t="s">
        <v>47</v>
      </c>
      <c r="L2" s="8" t="s">
        <v>58</v>
      </c>
    </row>
    <row r="3" spans="2:12" x14ac:dyDescent="0.3">
      <c r="B3" s="4" t="s">
        <v>26</v>
      </c>
      <c r="C3" s="4"/>
      <c r="D3" s="3">
        <v>87</v>
      </c>
      <c r="E3" s="3">
        <v>44.65</v>
      </c>
      <c r="F3" s="3">
        <v>0</v>
      </c>
      <c r="G3" s="10" t="s">
        <v>27</v>
      </c>
      <c r="H3" s="4" t="s">
        <v>5</v>
      </c>
      <c r="I3" s="3">
        <v>15</v>
      </c>
      <c r="J3" s="3">
        <v>75</v>
      </c>
      <c r="K3" s="13">
        <v>0</v>
      </c>
      <c r="L3" s="10" t="s">
        <v>135</v>
      </c>
    </row>
    <row r="4" spans="2:12" x14ac:dyDescent="0.3">
      <c r="B4" s="4" t="s">
        <v>28</v>
      </c>
      <c r="C4" s="4"/>
      <c r="D4" s="53">
        <v>78</v>
      </c>
      <c r="E4" s="53">
        <v>39.99</v>
      </c>
      <c r="F4" s="53">
        <v>0</v>
      </c>
      <c r="G4" s="54" t="s">
        <v>29</v>
      </c>
      <c r="H4" s="4" t="s">
        <v>5</v>
      </c>
      <c r="I4" s="53">
        <v>15</v>
      </c>
      <c r="J4" s="53">
        <v>75</v>
      </c>
      <c r="K4" s="55">
        <v>0</v>
      </c>
      <c r="L4" s="54" t="s">
        <v>135</v>
      </c>
    </row>
    <row r="5" spans="2:12" x14ac:dyDescent="0.3">
      <c r="B5" s="4" t="s">
        <v>30</v>
      </c>
      <c r="C5" s="4"/>
      <c r="D5" s="3">
        <v>45</v>
      </c>
      <c r="E5" s="3">
        <v>18.68</v>
      </c>
      <c r="F5" s="3">
        <v>0</v>
      </c>
      <c r="G5" s="10" t="s">
        <v>31</v>
      </c>
      <c r="H5" s="4" t="s">
        <v>16</v>
      </c>
      <c r="I5" s="3">
        <v>50</v>
      </c>
      <c r="J5" s="3"/>
      <c r="K5" s="13">
        <v>0</v>
      </c>
      <c r="L5" s="10">
        <v>1</v>
      </c>
    </row>
    <row r="6" spans="2:12" x14ac:dyDescent="0.3">
      <c r="B6" s="4" t="s">
        <v>38</v>
      </c>
      <c r="C6" s="4"/>
      <c r="D6" s="53">
        <v>71</v>
      </c>
      <c r="E6" s="53">
        <v>34.26</v>
      </c>
      <c r="F6" s="53">
        <v>0</v>
      </c>
      <c r="G6" s="54"/>
      <c r="H6" s="4" t="s">
        <v>5</v>
      </c>
      <c r="I6" s="6">
        <v>25</v>
      </c>
      <c r="J6" s="53">
        <v>60</v>
      </c>
      <c r="K6" s="55">
        <v>0</v>
      </c>
      <c r="L6" s="54" t="s">
        <v>136</v>
      </c>
    </row>
    <row r="7" spans="2:12" x14ac:dyDescent="0.3">
      <c r="B7" s="4" t="s">
        <v>42</v>
      </c>
      <c r="C7" s="4"/>
      <c r="D7" s="3">
        <v>55</v>
      </c>
      <c r="E7" s="3">
        <v>27.65</v>
      </c>
      <c r="F7" s="3">
        <v>0</v>
      </c>
      <c r="G7" s="4" t="s">
        <v>44</v>
      </c>
      <c r="H7" s="4" t="s">
        <v>16</v>
      </c>
      <c r="I7" s="6">
        <v>60</v>
      </c>
      <c r="J7" s="3"/>
      <c r="K7" s="13">
        <v>0</v>
      </c>
      <c r="L7" s="10" t="s">
        <v>128</v>
      </c>
    </row>
    <row r="8" spans="2:12" x14ac:dyDescent="0.3">
      <c r="B8" s="4" t="s">
        <v>43</v>
      </c>
      <c r="C8" s="4"/>
      <c r="D8" s="6">
        <v>47</v>
      </c>
      <c r="E8" s="6">
        <v>23.18</v>
      </c>
      <c r="F8" s="3">
        <v>0</v>
      </c>
      <c r="G8" s="4"/>
      <c r="H8" s="4" t="s">
        <v>5</v>
      </c>
      <c r="I8" s="6">
        <v>55</v>
      </c>
      <c r="J8" s="3"/>
      <c r="K8" s="13">
        <v>0</v>
      </c>
      <c r="L8" s="10" t="s">
        <v>128</v>
      </c>
    </row>
    <row r="9" spans="2:12" x14ac:dyDescent="0.3">
      <c r="B9" s="4"/>
      <c r="C9" s="4"/>
      <c r="D9" s="6"/>
      <c r="E9" s="3"/>
      <c r="F9" s="4"/>
      <c r="G9" s="4"/>
      <c r="H9" s="4"/>
      <c r="I9" s="6"/>
      <c r="J9" s="3"/>
      <c r="K9" s="13">
        <v>0</v>
      </c>
      <c r="L9" s="10"/>
    </row>
  </sheetData>
  <phoneticPr fontId="3" type="noConversion"/>
  <conditionalFormatting sqref="B3:I3 J3:L4 G4:H4 B4:F8 G5:I8 J5:K9 B9:D9 F9:I9">
    <cfRule type="containsText" dxfId="39" priority="2" operator="containsText" text="Cadena">
      <formula>NOT(ISERROR(SEARCH("Cadena",B3)))</formula>
    </cfRule>
    <cfRule type="containsText" dxfId="38" priority="3" operator="containsText" text="Zinc">
      <formula>NOT(ISERROR(SEARCH("Zinc",B3)))</formula>
    </cfRule>
    <cfRule type="containsText" dxfId="37" priority="4" operator="containsText" text="Acero">
      <formula>NOT(ISERROR(SEARCH("Acero",B3)))</formula>
    </cfRule>
    <cfRule type="containsText" dxfId="36" priority="5" operator="containsText" text="Pinza">
      <formula>NOT(ISERROR(SEARCH("Pinza",B3)))</formula>
    </cfRule>
    <cfRule type="containsText" dxfId="35" priority="6" operator="containsText" text="Collar">
      <formula>NOT(ISERROR(SEARCH("Collar",B3)))</formula>
    </cfRule>
  </conditionalFormatting>
  <conditionalFormatting sqref="K3:L4 K5:K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{6BEE3AAD-03A4-4774-A94B-0A495FC8B648}</x14:id>
        </ext>
      </extLst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BEE3AAD-03A4-4774-A94B-0A495FC8B6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K3:L4 K5:K9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B68C5-FFFD-4F8B-92DA-19CBBAA8C6FA}">
  <dimension ref="B2:L19"/>
  <sheetViews>
    <sheetView zoomScaleNormal="100" workbookViewId="0">
      <selection activeCell="G23" sqref="G23"/>
    </sheetView>
  </sheetViews>
  <sheetFormatPr baseColWidth="10" defaultRowHeight="14.4" x14ac:dyDescent="0.3"/>
  <cols>
    <col min="2" max="2" width="23" style="9" customWidth="1"/>
    <col min="3" max="3" width="17.5546875" style="9" customWidth="1"/>
    <col min="4" max="4" width="11.88671875" style="7" customWidth="1"/>
    <col min="5" max="5" width="12.5546875" style="7" customWidth="1"/>
    <col min="6" max="6" width="10.6640625" customWidth="1"/>
    <col min="7" max="7" width="25.6640625" style="9" customWidth="1"/>
    <col min="8" max="8" width="26.33203125" style="9" customWidth="1"/>
    <col min="9" max="9" width="17.21875" style="7" customWidth="1"/>
    <col min="10" max="10" width="14.21875" customWidth="1"/>
    <col min="11" max="11" width="13.6640625" customWidth="1"/>
    <col min="12" max="12" width="11.5546875" customWidth="1"/>
  </cols>
  <sheetData>
    <row r="2" spans="2:12" ht="28.8" x14ac:dyDescent="0.3">
      <c r="B2" s="5" t="s">
        <v>0</v>
      </c>
      <c r="C2" s="5" t="s">
        <v>32</v>
      </c>
      <c r="D2" s="8" t="s">
        <v>134</v>
      </c>
      <c r="E2" s="8" t="s">
        <v>129</v>
      </c>
      <c r="F2" s="2" t="s">
        <v>137</v>
      </c>
      <c r="G2" s="5" t="s">
        <v>17</v>
      </c>
      <c r="H2" s="5" t="s">
        <v>1</v>
      </c>
      <c r="I2" s="8" t="s">
        <v>45</v>
      </c>
      <c r="J2" s="8" t="s">
        <v>46</v>
      </c>
      <c r="K2" s="8" t="s">
        <v>47</v>
      </c>
      <c r="L2" s="8" t="s">
        <v>58</v>
      </c>
    </row>
    <row r="3" spans="2:12" x14ac:dyDescent="0.3">
      <c r="B3" s="5" t="s">
        <v>8</v>
      </c>
      <c r="C3" s="5" t="s">
        <v>172</v>
      </c>
      <c r="D3" s="16">
        <v>102</v>
      </c>
      <c r="E3" s="16">
        <v>52.9</v>
      </c>
      <c r="F3" s="16"/>
      <c r="G3" s="15" t="s">
        <v>18</v>
      </c>
      <c r="H3" s="5" t="s">
        <v>16</v>
      </c>
      <c r="I3" s="16">
        <v>130</v>
      </c>
      <c r="J3" s="16"/>
      <c r="K3" s="17">
        <v>0</v>
      </c>
      <c r="L3" s="17">
        <v>1</v>
      </c>
    </row>
    <row r="4" spans="2:12" x14ac:dyDescent="0.3">
      <c r="B4" s="5" t="s">
        <v>9</v>
      </c>
      <c r="C4" s="5" t="s">
        <v>172</v>
      </c>
      <c r="D4" s="16">
        <v>94</v>
      </c>
      <c r="E4" s="16">
        <v>57.1</v>
      </c>
      <c r="F4" s="16"/>
      <c r="G4" s="15" t="s">
        <v>18</v>
      </c>
      <c r="H4" s="5" t="s">
        <v>16</v>
      </c>
      <c r="I4" s="16">
        <v>130</v>
      </c>
      <c r="J4" s="16"/>
      <c r="K4" s="17">
        <v>0</v>
      </c>
      <c r="L4" s="17">
        <v>1</v>
      </c>
    </row>
    <row r="5" spans="2:12" x14ac:dyDescent="0.3">
      <c r="B5" s="5" t="s">
        <v>10</v>
      </c>
      <c r="C5" s="5" t="s">
        <v>169</v>
      </c>
      <c r="D5" s="16">
        <v>88</v>
      </c>
      <c r="E5" s="16">
        <v>45.52</v>
      </c>
      <c r="F5" s="16"/>
      <c r="G5" s="15" t="s">
        <v>21</v>
      </c>
      <c r="H5" s="5" t="s">
        <v>16</v>
      </c>
      <c r="I5" s="16">
        <v>115</v>
      </c>
      <c r="J5" s="16"/>
      <c r="K5" s="17">
        <v>0</v>
      </c>
      <c r="L5" s="17">
        <v>1</v>
      </c>
    </row>
    <row r="6" spans="2:12" x14ac:dyDescent="0.3">
      <c r="B6" s="5" t="s">
        <v>12</v>
      </c>
      <c r="C6" s="5" t="s">
        <v>172</v>
      </c>
      <c r="D6" s="16">
        <v>74</v>
      </c>
      <c r="E6" s="16">
        <v>44.59</v>
      </c>
      <c r="F6" s="16"/>
      <c r="G6" s="15" t="s">
        <v>21</v>
      </c>
      <c r="H6" s="5" t="s">
        <v>16</v>
      </c>
      <c r="I6" s="16">
        <v>115</v>
      </c>
      <c r="J6" s="16"/>
      <c r="K6" s="17">
        <v>0</v>
      </c>
      <c r="L6" s="17">
        <v>1</v>
      </c>
    </row>
    <row r="7" spans="2:12" x14ac:dyDescent="0.3">
      <c r="B7" s="5" t="s">
        <v>15</v>
      </c>
      <c r="C7" s="5" t="s">
        <v>172</v>
      </c>
      <c r="D7" s="16">
        <v>83</v>
      </c>
      <c r="E7" s="16">
        <v>57.65</v>
      </c>
      <c r="F7" s="16"/>
      <c r="G7" s="47" t="s">
        <v>21</v>
      </c>
      <c r="H7" s="5" t="s">
        <v>16</v>
      </c>
      <c r="I7" s="16">
        <v>130</v>
      </c>
      <c r="J7" s="16"/>
      <c r="K7" s="17">
        <v>0</v>
      </c>
      <c r="L7" s="17">
        <v>1</v>
      </c>
    </row>
    <row r="8" spans="2:12" x14ac:dyDescent="0.3">
      <c r="B8" s="5" t="s">
        <v>7</v>
      </c>
      <c r="C8" s="5" t="s">
        <v>172</v>
      </c>
      <c r="D8" s="56">
        <v>38</v>
      </c>
      <c r="E8" s="56">
        <v>16.18</v>
      </c>
      <c r="F8" s="56">
        <v>21.77</v>
      </c>
      <c r="G8" s="57" t="s">
        <v>19</v>
      </c>
      <c r="H8" s="5" t="s">
        <v>5</v>
      </c>
      <c r="I8" s="56">
        <v>70</v>
      </c>
      <c r="J8" s="56"/>
      <c r="K8" s="58">
        <v>0</v>
      </c>
      <c r="L8" s="58">
        <v>1</v>
      </c>
    </row>
    <row r="9" spans="2:12" x14ac:dyDescent="0.3">
      <c r="B9" s="5" t="s">
        <v>11</v>
      </c>
      <c r="C9" s="5" t="s">
        <v>173</v>
      </c>
      <c r="D9" s="16">
        <v>61</v>
      </c>
      <c r="E9" s="16">
        <v>32.79</v>
      </c>
      <c r="F9" s="16"/>
      <c r="G9" s="15" t="s">
        <v>18</v>
      </c>
      <c r="H9" s="5" t="s">
        <v>5</v>
      </c>
      <c r="I9" s="16">
        <v>80</v>
      </c>
      <c r="J9" s="16"/>
      <c r="K9" s="17">
        <v>0</v>
      </c>
      <c r="L9" s="17">
        <v>1</v>
      </c>
    </row>
    <row r="10" spans="2:12" s="36" customFormat="1" x14ac:dyDescent="0.3">
      <c r="B10" s="31" t="s">
        <v>24</v>
      </c>
      <c r="C10" s="31"/>
      <c r="D10" s="32">
        <v>75</v>
      </c>
      <c r="E10" s="32">
        <v>38.83</v>
      </c>
      <c r="F10" s="32">
        <v>36.479999999999997</v>
      </c>
      <c r="G10" s="48" t="s">
        <v>25</v>
      </c>
      <c r="H10" s="31" t="s">
        <v>16</v>
      </c>
      <c r="I10" s="32">
        <v>100</v>
      </c>
      <c r="J10" s="32"/>
      <c r="K10" s="35">
        <v>1</v>
      </c>
      <c r="L10" s="35">
        <v>1</v>
      </c>
    </row>
    <row r="11" spans="2:12" x14ac:dyDescent="0.3">
      <c r="B11" s="5" t="s">
        <v>34</v>
      </c>
      <c r="C11" s="5" t="s">
        <v>169</v>
      </c>
      <c r="D11" s="16">
        <v>70</v>
      </c>
      <c r="E11" s="16">
        <v>34.26</v>
      </c>
      <c r="F11" s="16"/>
      <c r="G11" s="15" t="s">
        <v>18</v>
      </c>
      <c r="H11" s="5" t="s">
        <v>16</v>
      </c>
      <c r="I11" s="16">
        <v>100</v>
      </c>
      <c r="J11" s="16"/>
      <c r="K11" s="17">
        <v>0</v>
      </c>
      <c r="L11" s="17">
        <v>1</v>
      </c>
    </row>
    <row r="12" spans="2:12" ht="28.8" x14ac:dyDescent="0.3">
      <c r="B12" s="5" t="s">
        <v>36</v>
      </c>
      <c r="C12" s="5" t="s">
        <v>33</v>
      </c>
      <c r="D12" s="16">
        <v>83</v>
      </c>
      <c r="E12" s="16">
        <v>37.6</v>
      </c>
      <c r="F12" s="16"/>
      <c r="G12" s="15" t="s">
        <v>174</v>
      </c>
      <c r="H12" s="5" t="s">
        <v>16</v>
      </c>
      <c r="I12" s="16">
        <v>75</v>
      </c>
      <c r="J12" s="16">
        <v>130</v>
      </c>
      <c r="K12" s="17">
        <v>0</v>
      </c>
      <c r="L12" s="17">
        <v>2</v>
      </c>
    </row>
    <row r="13" spans="2:12" x14ac:dyDescent="0.3">
      <c r="B13" s="5" t="s">
        <v>35</v>
      </c>
      <c r="C13" s="5" t="s">
        <v>169</v>
      </c>
      <c r="D13" s="16">
        <v>53</v>
      </c>
      <c r="E13" s="16">
        <v>27.32</v>
      </c>
      <c r="F13" s="16"/>
      <c r="G13" s="15"/>
      <c r="H13" s="5" t="s">
        <v>16</v>
      </c>
      <c r="I13" s="16">
        <v>100</v>
      </c>
      <c r="J13" s="16"/>
      <c r="K13" s="17">
        <v>0</v>
      </c>
      <c r="L13" s="17">
        <v>1</v>
      </c>
    </row>
    <row r="14" spans="2:12" s="36" customFormat="1" x14ac:dyDescent="0.3">
      <c r="B14" s="31" t="s">
        <v>37</v>
      </c>
      <c r="C14" s="31" t="s">
        <v>169</v>
      </c>
      <c r="D14" s="32">
        <v>97</v>
      </c>
      <c r="E14" s="32">
        <v>49.97</v>
      </c>
      <c r="F14" s="32"/>
      <c r="G14" s="33"/>
      <c r="H14" s="31" t="s">
        <v>16</v>
      </c>
      <c r="I14" s="32">
        <v>130</v>
      </c>
      <c r="J14" s="32"/>
      <c r="K14" s="35">
        <v>1</v>
      </c>
      <c r="L14" s="17">
        <v>1</v>
      </c>
    </row>
    <row r="15" spans="2:12" x14ac:dyDescent="0.3">
      <c r="B15" s="5" t="s">
        <v>39</v>
      </c>
      <c r="C15" s="5" t="s">
        <v>172</v>
      </c>
      <c r="D15" s="16">
        <v>53</v>
      </c>
      <c r="E15" s="16">
        <v>22.68</v>
      </c>
      <c r="F15" s="16"/>
      <c r="G15" s="15"/>
      <c r="H15" s="5" t="s">
        <v>16</v>
      </c>
      <c r="I15" s="16">
        <v>60</v>
      </c>
      <c r="J15" s="16"/>
      <c r="K15" s="17">
        <v>0</v>
      </c>
      <c r="L15" s="17">
        <v>1</v>
      </c>
    </row>
    <row r="16" spans="2:12" x14ac:dyDescent="0.3">
      <c r="B16" s="5" t="s">
        <v>40</v>
      </c>
      <c r="C16" s="5" t="s">
        <v>172</v>
      </c>
      <c r="D16" s="8">
        <v>85</v>
      </c>
      <c r="E16" s="8">
        <v>38.54</v>
      </c>
      <c r="F16" s="5"/>
      <c r="G16" s="5" t="s">
        <v>41</v>
      </c>
      <c r="H16" s="5" t="s">
        <v>16</v>
      </c>
      <c r="I16" s="8">
        <v>110</v>
      </c>
      <c r="J16" s="16"/>
      <c r="K16" s="17">
        <v>0</v>
      </c>
      <c r="L16" s="17">
        <v>1</v>
      </c>
    </row>
    <row r="17" spans="2:12" x14ac:dyDescent="0.3">
      <c r="B17" s="5" t="s">
        <v>168</v>
      </c>
      <c r="C17" s="5" t="s">
        <v>169</v>
      </c>
      <c r="D17" s="8">
        <v>83</v>
      </c>
      <c r="E17" s="8">
        <v>40.200000000000003</v>
      </c>
      <c r="F17" s="5"/>
      <c r="G17" s="5" t="s">
        <v>18</v>
      </c>
      <c r="H17" s="5" t="s">
        <v>16</v>
      </c>
      <c r="I17" s="8">
        <v>75</v>
      </c>
      <c r="J17" s="56"/>
      <c r="K17" s="58">
        <v>0</v>
      </c>
      <c r="L17" s="58">
        <v>1</v>
      </c>
    </row>
    <row r="18" spans="2:12" s="36" customFormat="1" x14ac:dyDescent="0.3">
      <c r="B18" s="31" t="s">
        <v>170</v>
      </c>
      <c r="C18" s="31" t="s">
        <v>171</v>
      </c>
      <c r="D18" s="61">
        <v>62</v>
      </c>
      <c r="E18" s="61">
        <v>29.69</v>
      </c>
      <c r="F18" s="31"/>
      <c r="G18" s="33"/>
      <c r="H18" s="31" t="s">
        <v>16</v>
      </c>
      <c r="I18" s="61">
        <v>30</v>
      </c>
      <c r="J18" s="32">
        <v>60</v>
      </c>
      <c r="K18" s="35">
        <v>2</v>
      </c>
      <c r="L18" s="35">
        <v>2</v>
      </c>
    </row>
    <row r="19" spans="2:12" s="60" customFormat="1" x14ac:dyDescent="0.3">
      <c r="B19" s="18" t="s">
        <v>175</v>
      </c>
      <c r="C19" s="18" t="s">
        <v>172</v>
      </c>
      <c r="D19" s="71">
        <v>69</v>
      </c>
      <c r="E19" s="71">
        <v>33.39</v>
      </c>
      <c r="F19" s="18"/>
      <c r="G19" s="18" t="s">
        <v>18</v>
      </c>
      <c r="H19" s="18" t="s">
        <v>16</v>
      </c>
      <c r="I19" s="71">
        <v>65</v>
      </c>
      <c r="J19" s="19"/>
      <c r="K19" s="22">
        <v>1</v>
      </c>
      <c r="L19" s="22">
        <v>1</v>
      </c>
    </row>
  </sheetData>
  <phoneticPr fontId="3" type="noConversion"/>
  <conditionalFormatting sqref="D3:K3 B3:C4 D4:J4 K4:K19 B5:J14 B15:C16 H15:H19 D16:G16 I16:J19 B17:G19">
    <cfRule type="containsText" dxfId="34" priority="3" operator="containsText" text="Cadena">
      <formula>NOT(ISERROR(SEARCH("Cadena",B3)))</formula>
    </cfRule>
    <cfRule type="containsText" dxfId="33" priority="4" operator="containsText" text="Zinc">
      <formula>NOT(ISERROR(SEARCH("Zinc",B3)))</formula>
    </cfRule>
    <cfRule type="containsText" dxfId="32" priority="5" operator="containsText" text="Acero">
      <formula>NOT(ISERROR(SEARCH("Acero",B3)))</formula>
    </cfRule>
    <cfRule type="containsText" dxfId="31" priority="6" operator="containsText" text="Pinza">
      <formula>NOT(ISERROR(SEARCH("Pinza",B3)))</formula>
    </cfRule>
    <cfRule type="containsText" dxfId="30" priority="7" operator="containsText" text="Collar">
      <formula>NOT(ISERROR(SEARCH("Collar",B3)))</formula>
    </cfRule>
  </conditionalFormatting>
  <conditionalFormatting sqref="K3:K1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{25725AE2-6B27-4F2C-A4ED-45FA9A6A9FB6}</x14:id>
        </ext>
      </extLst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5725AE2-6B27-4F2C-A4ED-45FA9A6A9F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K3:K19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62CEE-3F25-4013-A807-398F4CCEC59F}">
  <dimension ref="B2:M18"/>
  <sheetViews>
    <sheetView zoomScale="85" zoomScaleNormal="85" workbookViewId="0">
      <selection activeCell="D1" sqref="D1:D1048576"/>
    </sheetView>
  </sheetViews>
  <sheetFormatPr baseColWidth="10" defaultRowHeight="14.4" x14ac:dyDescent="0.3"/>
  <cols>
    <col min="2" max="2" width="17.109375" style="9" customWidth="1"/>
    <col min="3" max="3" width="13.44140625" style="7" customWidth="1"/>
    <col min="4" max="4" width="14.6640625" style="7" customWidth="1"/>
    <col min="5" max="5" width="16.109375" customWidth="1"/>
    <col min="6" max="6" width="15.88671875" style="9" customWidth="1"/>
    <col min="7" max="7" width="22.33203125" style="9" customWidth="1"/>
    <col min="8" max="8" width="17.21875" style="7" customWidth="1"/>
    <col min="9" max="9" width="14.21875" customWidth="1"/>
    <col min="10" max="10" width="15.6640625" customWidth="1"/>
    <col min="11" max="11" width="14.88671875" customWidth="1"/>
    <col min="13" max="13" width="17.33203125" customWidth="1"/>
  </cols>
  <sheetData>
    <row r="2" spans="2:13" s="14" customFormat="1" ht="28.8" x14ac:dyDescent="0.3">
      <c r="B2" s="5" t="s">
        <v>0</v>
      </c>
      <c r="C2" s="5" t="s">
        <v>61</v>
      </c>
      <c r="D2" s="5" t="s">
        <v>49</v>
      </c>
      <c r="E2" s="8" t="s">
        <v>134</v>
      </c>
      <c r="F2" s="8" t="s">
        <v>131</v>
      </c>
      <c r="G2" s="2" t="s">
        <v>51</v>
      </c>
      <c r="H2" s="5" t="s">
        <v>1</v>
      </c>
      <c r="I2" s="5" t="s">
        <v>58</v>
      </c>
      <c r="J2" s="8" t="s">
        <v>45</v>
      </c>
      <c r="K2" s="8" t="s">
        <v>67</v>
      </c>
      <c r="L2" s="8" t="s">
        <v>47</v>
      </c>
      <c r="M2" s="8" t="s">
        <v>121</v>
      </c>
    </row>
    <row r="3" spans="2:13" ht="57.6" x14ac:dyDescent="0.3">
      <c r="B3" s="5" t="s">
        <v>48</v>
      </c>
      <c r="C3" s="5" t="s">
        <v>62</v>
      </c>
      <c r="D3" s="5" t="s">
        <v>50</v>
      </c>
      <c r="E3" s="16">
        <v>251</v>
      </c>
      <c r="F3" s="16">
        <v>87.17</v>
      </c>
      <c r="G3" s="16" t="s">
        <v>52</v>
      </c>
      <c r="H3" s="15" t="s">
        <v>53</v>
      </c>
      <c r="I3" s="2">
        <v>1</v>
      </c>
      <c r="J3" s="16">
        <v>190</v>
      </c>
      <c r="K3" s="17" t="s">
        <v>105</v>
      </c>
      <c r="L3" s="17">
        <v>0</v>
      </c>
      <c r="M3" s="17">
        <v>0</v>
      </c>
    </row>
    <row r="4" spans="2:13" s="60" customFormat="1" ht="57.6" x14ac:dyDescent="0.3">
      <c r="B4" s="18" t="s">
        <v>196</v>
      </c>
      <c r="C4" s="18" t="s">
        <v>62</v>
      </c>
      <c r="D4" s="18" t="s">
        <v>50</v>
      </c>
      <c r="E4" s="19">
        <v>307</v>
      </c>
      <c r="F4" s="19">
        <v>120.09</v>
      </c>
      <c r="G4" s="19" t="s">
        <v>197</v>
      </c>
      <c r="H4" s="20" t="s">
        <v>55</v>
      </c>
      <c r="I4" s="21">
        <v>1</v>
      </c>
      <c r="J4" s="19">
        <v>200</v>
      </c>
      <c r="K4" s="22" t="s">
        <v>104</v>
      </c>
      <c r="L4" s="22">
        <v>0</v>
      </c>
      <c r="M4" s="22">
        <v>0</v>
      </c>
    </row>
    <row r="5" spans="2:13" s="36" customFormat="1" ht="57.6" x14ac:dyDescent="0.3">
      <c r="B5" s="31" t="s">
        <v>198</v>
      </c>
      <c r="C5" s="31" t="s">
        <v>199</v>
      </c>
      <c r="D5" s="31" t="s">
        <v>50</v>
      </c>
      <c r="E5" s="32">
        <v>390</v>
      </c>
      <c r="F5" s="32">
        <v>124.79</v>
      </c>
      <c r="G5" s="32" t="s">
        <v>52</v>
      </c>
      <c r="H5" s="33" t="s">
        <v>56</v>
      </c>
      <c r="I5" s="34">
        <v>2</v>
      </c>
      <c r="J5" s="32">
        <v>260</v>
      </c>
      <c r="K5" s="35" t="s">
        <v>95</v>
      </c>
      <c r="L5" s="35">
        <v>2</v>
      </c>
      <c r="M5" s="35">
        <v>0</v>
      </c>
    </row>
    <row r="6" spans="2:13" ht="57.6" x14ac:dyDescent="0.3">
      <c r="B6" s="5" t="s">
        <v>60</v>
      </c>
      <c r="C6" s="5" t="s">
        <v>62</v>
      </c>
      <c r="D6" s="5" t="s">
        <v>50</v>
      </c>
      <c r="E6" s="56">
        <v>239</v>
      </c>
      <c r="F6" s="56">
        <v>67.16</v>
      </c>
      <c r="G6" s="56" t="s">
        <v>64</v>
      </c>
      <c r="H6" s="59" t="s">
        <v>56</v>
      </c>
      <c r="I6" s="2">
        <v>1</v>
      </c>
      <c r="J6" s="56">
        <v>200</v>
      </c>
      <c r="K6" s="58" t="s">
        <v>105</v>
      </c>
      <c r="L6" s="58">
        <v>0</v>
      </c>
      <c r="M6" s="58">
        <v>0</v>
      </c>
    </row>
    <row r="7" spans="2:13" ht="57.6" x14ac:dyDescent="0.3">
      <c r="B7" s="5" t="s">
        <v>65</v>
      </c>
      <c r="C7" s="5" t="s">
        <v>62</v>
      </c>
      <c r="D7" s="5" t="s">
        <v>50</v>
      </c>
      <c r="E7" s="16">
        <v>242</v>
      </c>
      <c r="F7" s="16">
        <v>82.02</v>
      </c>
      <c r="G7" s="16" t="s">
        <v>66</v>
      </c>
      <c r="H7" s="15" t="s">
        <v>59</v>
      </c>
      <c r="I7" s="2">
        <v>1</v>
      </c>
      <c r="J7" s="16">
        <v>200</v>
      </c>
      <c r="K7" s="17" t="s">
        <v>105</v>
      </c>
      <c r="L7" s="17">
        <v>0</v>
      </c>
      <c r="M7" s="17">
        <v>0</v>
      </c>
    </row>
    <row r="8" spans="2:13" ht="57.6" x14ac:dyDescent="0.3">
      <c r="B8" s="5" t="s">
        <v>200</v>
      </c>
      <c r="C8" s="5" t="s">
        <v>111</v>
      </c>
      <c r="D8" s="5" t="s">
        <v>50</v>
      </c>
      <c r="E8" s="56">
        <v>326</v>
      </c>
      <c r="F8" s="56"/>
      <c r="G8" s="56" t="s">
        <v>201</v>
      </c>
      <c r="H8" s="59" t="s">
        <v>202</v>
      </c>
      <c r="I8" s="2">
        <v>1</v>
      </c>
      <c r="J8" s="56">
        <v>220</v>
      </c>
      <c r="K8" s="58" t="s">
        <v>104</v>
      </c>
      <c r="L8" s="58">
        <v>0</v>
      </c>
      <c r="M8" s="58">
        <v>0</v>
      </c>
    </row>
    <row r="9" spans="2:13" s="60" customFormat="1" ht="28.8" x14ac:dyDescent="0.3">
      <c r="B9" s="18" t="s">
        <v>216</v>
      </c>
      <c r="C9" s="18" t="s">
        <v>217</v>
      </c>
      <c r="D9" s="18" t="s">
        <v>57</v>
      </c>
      <c r="E9" s="19">
        <v>311</v>
      </c>
      <c r="F9" s="19">
        <v>185.94</v>
      </c>
      <c r="G9" s="19" t="s">
        <v>218</v>
      </c>
      <c r="H9" s="20"/>
      <c r="I9" s="21">
        <v>1</v>
      </c>
      <c r="J9" s="19">
        <v>250</v>
      </c>
      <c r="K9" s="22" t="s">
        <v>105</v>
      </c>
      <c r="L9" s="22">
        <v>1</v>
      </c>
      <c r="M9" s="22">
        <v>0</v>
      </c>
    </row>
    <row r="10" spans="2:13" ht="57.6" x14ac:dyDescent="0.3">
      <c r="B10" s="5" t="s">
        <v>86</v>
      </c>
      <c r="C10" s="5" t="s">
        <v>63</v>
      </c>
      <c r="D10" s="5" t="s">
        <v>108</v>
      </c>
      <c r="E10" s="56">
        <v>405</v>
      </c>
      <c r="F10" s="56">
        <v>134.30000000000001</v>
      </c>
      <c r="G10" s="56" t="s">
        <v>87</v>
      </c>
      <c r="H10" s="59" t="s">
        <v>88</v>
      </c>
      <c r="I10" s="2">
        <v>3</v>
      </c>
      <c r="J10" s="56">
        <v>130</v>
      </c>
      <c r="K10" s="58" t="s">
        <v>104</v>
      </c>
      <c r="L10" s="58">
        <v>0</v>
      </c>
      <c r="M10" s="58">
        <v>0</v>
      </c>
    </row>
    <row r="11" spans="2:13" ht="57.6" x14ac:dyDescent="0.3">
      <c r="B11" s="5" t="s">
        <v>106</v>
      </c>
      <c r="C11" s="5" t="s">
        <v>107</v>
      </c>
      <c r="D11" s="5" t="s">
        <v>50</v>
      </c>
      <c r="E11" s="56">
        <v>342</v>
      </c>
      <c r="F11" s="56">
        <v>131.57</v>
      </c>
      <c r="G11" s="56" t="s">
        <v>109</v>
      </c>
      <c r="H11" s="59" t="s">
        <v>116</v>
      </c>
      <c r="I11" s="2">
        <v>1</v>
      </c>
      <c r="J11" s="56">
        <v>230</v>
      </c>
      <c r="K11" s="58" t="s">
        <v>105</v>
      </c>
      <c r="L11" s="58">
        <v>0</v>
      </c>
      <c r="M11" s="58">
        <v>0</v>
      </c>
    </row>
    <row r="12" spans="2:13" s="60" customFormat="1" ht="43.2" x14ac:dyDescent="0.3">
      <c r="B12" s="18" t="s">
        <v>110</v>
      </c>
      <c r="C12" s="18" t="s">
        <v>111</v>
      </c>
      <c r="D12" s="18" t="s">
        <v>50</v>
      </c>
      <c r="E12" s="19">
        <v>401</v>
      </c>
      <c r="F12" s="19">
        <v>162.36000000000001</v>
      </c>
      <c r="G12" s="19" t="s">
        <v>112</v>
      </c>
      <c r="H12" s="20" t="s">
        <v>115</v>
      </c>
      <c r="I12" s="21">
        <v>1</v>
      </c>
      <c r="J12" s="19">
        <v>250</v>
      </c>
      <c r="K12" s="22" t="s">
        <v>95</v>
      </c>
      <c r="L12" s="22">
        <v>0</v>
      </c>
      <c r="M12" s="22">
        <v>0</v>
      </c>
    </row>
    <row r="13" spans="2:13" ht="43.2" x14ac:dyDescent="0.3">
      <c r="B13" s="5" t="s">
        <v>113</v>
      </c>
      <c r="C13" s="5" t="s">
        <v>63</v>
      </c>
      <c r="D13" s="5" t="s">
        <v>50</v>
      </c>
      <c r="E13" s="56">
        <v>379</v>
      </c>
      <c r="F13" s="56">
        <v>87.73</v>
      </c>
      <c r="G13" s="56" t="s">
        <v>114</v>
      </c>
      <c r="H13" s="59" t="s">
        <v>115</v>
      </c>
      <c r="I13" s="2">
        <v>1</v>
      </c>
      <c r="J13" s="56">
        <v>200</v>
      </c>
      <c r="K13" s="58" t="s">
        <v>105</v>
      </c>
      <c r="L13" s="58">
        <v>0</v>
      </c>
      <c r="M13" s="58">
        <v>0</v>
      </c>
    </row>
    <row r="14" spans="2:13" ht="28.8" x14ac:dyDescent="0.3">
      <c r="B14" s="5" t="s">
        <v>122</v>
      </c>
      <c r="C14" s="5" t="s">
        <v>123</v>
      </c>
      <c r="D14" s="5" t="s">
        <v>50</v>
      </c>
      <c r="E14" s="56">
        <v>183</v>
      </c>
      <c r="F14" s="56">
        <v>55.53</v>
      </c>
      <c r="G14" s="56" t="s">
        <v>124</v>
      </c>
      <c r="H14" s="59" t="s">
        <v>125</v>
      </c>
      <c r="I14" s="2">
        <v>10</v>
      </c>
      <c r="J14" s="56">
        <v>15</v>
      </c>
      <c r="K14" s="58" t="s">
        <v>127</v>
      </c>
      <c r="L14" s="58">
        <v>0</v>
      </c>
      <c r="M14" s="58" t="s">
        <v>126</v>
      </c>
    </row>
    <row r="15" spans="2:13" ht="28.8" x14ac:dyDescent="0.3">
      <c r="B15" s="5" t="s">
        <v>183</v>
      </c>
      <c r="C15" s="5" t="s">
        <v>123</v>
      </c>
      <c r="D15" s="5" t="s">
        <v>50</v>
      </c>
      <c r="E15" s="56">
        <v>183</v>
      </c>
      <c r="F15" s="56">
        <v>70.040000000000006</v>
      </c>
      <c r="G15" s="56" t="s">
        <v>184</v>
      </c>
      <c r="H15" s="59" t="s">
        <v>185</v>
      </c>
      <c r="I15" s="2">
        <v>20</v>
      </c>
      <c r="J15" s="56">
        <v>15</v>
      </c>
      <c r="K15" s="58" t="s">
        <v>127</v>
      </c>
      <c r="L15" s="58">
        <v>0</v>
      </c>
      <c r="M15" s="58">
        <v>0</v>
      </c>
    </row>
    <row r="16" spans="2:13" ht="28.8" x14ac:dyDescent="0.3">
      <c r="B16" s="5" t="s">
        <v>187</v>
      </c>
      <c r="C16" s="5" t="s">
        <v>123</v>
      </c>
      <c r="D16" s="5" t="s">
        <v>50</v>
      </c>
      <c r="E16" s="56">
        <v>94</v>
      </c>
      <c r="F16" s="56">
        <v>48</v>
      </c>
      <c r="G16" s="56" t="s">
        <v>186</v>
      </c>
      <c r="H16" s="59" t="s">
        <v>188</v>
      </c>
      <c r="I16" s="2">
        <v>10</v>
      </c>
      <c r="J16" s="56">
        <v>15</v>
      </c>
      <c r="K16" s="58" t="s">
        <v>127</v>
      </c>
      <c r="L16" s="58">
        <v>0</v>
      </c>
      <c r="M16" s="58">
        <v>0</v>
      </c>
    </row>
    <row r="17" spans="2:13" ht="28.8" x14ac:dyDescent="0.3">
      <c r="B17" s="5" t="s">
        <v>189</v>
      </c>
      <c r="C17" s="5" t="s">
        <v>123</v>
      </c>
      <c r="D17" s="5" t="s">
        <v>50</v>
      </c>
      <c r="E17" s="56">
        <v>129</v>
      </c>
      <c r="F17" s="56">
        <v>80.95</v>
      </c>
      <c r="G17" s="56" t="s">
        <v>190</v>
      </c>
      <c r="H17" s="59" t="s">
        <v>192</v>
      </c>
      <c r="I17" s="2">
        <v>20</v>
      </c>
      <c r="J17" s="56">
        <v>15</v>
      </c>
      <c r="K17" s="58" t="s">
        <v>191</v>
      </c>
      <c r="L17" s="58">
        <v>0</v>
      </c>
      <c r="M17" s="58">
        <v>0</v>
      </c>
    </row>
    <row r="18" spans="2:13" x14ac:dyDescent="0.3">
      <c r="B18" s="5" t="s">
        <v>193</v>
      </c>
      <c r="C18" s="5" t="s">
        <v>123</v>
      </c>
      <c r="D18" s="5" t="s">
        <v>50</v>
      </c>
      <c r="E18" s="56">
        <v>218</v>
      </c>
      <c r="F18" s="56">
        <v>103.71</v>
      </c>
      <c r="G18" s="56" t="s">
        <v>144</v>
      </c>
      <c r="H18" s="59" t="s">
        <v>195</v>
      </c>
      <c r="I18" s="2">
        <v>20</v>
      </c>
      <c r="J18" s="56">
        <v>15</v>
      </c>
      <c r="K18" s="58" t="s">
        <v>194</v>
      </c>
      <c r="L18" s="58">
        <v>0</v>
      </c>
      <c r="M18" s="58">
        <v>130</v>
      </c>
    </row>
  </sheetData>
  <phoneticPr fontId="3" type="noConversion"/>
  <conditionalFormatting sqref="L3:L18">
    <cfRule type="containsText" dxfId="29" priority="86" operator="containsText" text="Cadena">
      <formula>NOT(ISERROR(SEARCH("Cadena",L3)))</formula>
    </cfRule>
    <cfRule type="containsText" dxfId="28" priority="87" operator="containsText" text="Zinc">
      <formula>NOT(ISERROR(SEARCH("Zinc",L3)))</formula>
    </cfRule>
    <cfRule type="containsText" dxfId="27" priority="88" operator="containsText" text="Acero">
      <formula>NOT(ISERROR(SEARCH("Acero",L3)))</formula>
    </cfRule>
    <cfRule type="containsText" dxfId="26" priority="89" operator="containsText" text="Pinza">
      <formula>NOT(ISERROR(SEARCH("Pinza",L3)))</formula>
    </cfRule>
    <cfRule type="containsText" dxfId="25" priority="90" operator="containsText" text="Collar">
      <formula>NOT(ISERROR(SEARCH("Collar",L3)))</formula>
    </cfRule>
    <cfRule type="dataBar" priority="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{61370A41-DCB6-4EE9-91C1-5FA76442E721}</x14:id>
        </ext>
      </extLst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1370A41-DCB6-4EE9-91C1-5FA76442E7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L3:L18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707AB-A677-4A61-9F06-47CEFC2639B4}">
  <dimension ref="B2:L14"/>
  <sheetViews>
    <sheetView zoomScaleNormal="100" workbookViewId="0">
      <selection activeCell="J1" sqref="J1:J1048576"/>
    </sheetView>
  </sheetViews>
  <sheetFormatPr baseColWidth="10" defaultRowHeight="14.4" x14ac:dyDescent="0.3"/>
  <cols>
    <col min="2" max="2" width="17.109375" style="9" customWidth="1"/>
    <col min="3" max="3" width="13.44140625" style="7" customWidth="1"/>
    <col min="4" max="4" width="16.109375" customWidth="1"/>
    <col min="5" max="5" width="11.77734375" style="9" customWidth="1"/>
    <col min="6" max="6" width="26.33203125" style="9" customWidth="1"/>
    <col min="7" max="7" width="17.21875" style="7" customWidth="1"/>
    <col min="8" max="8" width="14.21875" customWidth="1"/>
    <col min="9" max="9" width="15.6640625" customWidth="1"/>
    <col min="10" max="10" width="16.88671875" customWidth="1"/>
    <col min="11" max="11" width="14.44140625" customWidth="1"/>
  </cols>
  <sheetData>
    <row r="2" spans="2:12" s="14" customFormat="1" ht="28.8" x14ac:dyDescent="0.3">
      <c r="B2" s="5" t="s">
        <v>0</v>
      </c>
      <c r="C2" s="5" t="s">
        <v>61</v>
      </c>
      <c r="D2" s="8" t="s">
        <v>134</v>
      </c>
      <c r="E2" s="8" t="s">
        <v>131</v>
      </c>
      <c r="F2" s="2" t="s">
        <v>51</v>
      </c>
      <c r="G2" s="5" t="s">
        <v>1</v>
      </c>
      <c r="H2" s="5" t="s">
        <v>58</v>
      </c>
      <c r="I2" s="8" t="s">
        <v>45</v>
      </c>
      <c r="J2" s="8" t="s">
        <v>46</v>
      </c>
      <c r="K2" s="8" t="s">
        <v>67</v>
      </c>
      <c r="L2" s="8" t="s">
        <v>47</v>
      </c>
    </row>
    <row r="3" spans="2:12" ht="57.6" x14ac:dyDescent="0.3">
      <c r="B3" s="5" t="s">
        <v>68</v>
      </c>
      <c r="C3" s="5" t="s">
        <v>62</v>
      </c>
      <c r="D3" s="16">
        <v>270</v>
      </c>
      <c r="E3" s="16">
        <v>108.7</v>
      </c>
      <c r="F3" s="16" t="s">
        <v>69</v>
      </c>
      <c r="G3" s="15" t="s">
        <v>55</v>
      </c>
      <c r="H3" s="2">
        <v>1</v>
      </c>
      <c r="I3" s="16">
        <v>200</v>
      </c>
      <c r="J3" s="16"/>
      <c r="K3" s="17" t="s">
        <v>105</v>
      </c>
      <c r="L3" s="17">
        <v>0</v>
      </c>
    </row>
    <row r="4" spans="2:12" s="30" customFormat="1" ht="43.2" hidden="1" x14ac:dyDescent="0.3">
      <c r="B4" s="25" t="s">
        <v>70</v>
      </c>
      <c r="C4" s="25" t="s">
        <v>62</v>
      </c>
      <c r="D4" s="26">
        <v>271</v>
      </c>
      <c r="E4" s="26"/>
      <c r="F4" s="26" t="s">
        <v>71</v>
      </c>
      <c r="G4" s="27" t="s">
        <v>72</v>
      </c>
      <c r="H4" s="28">
        <v>1</v>
      </c>
      <c r="I4" s="26">
        <v>290</v>
      </c>
      <c r="J4" s="26"/>
      <c r="K4" s="29" t="s">
        <v>105</v>
      </c>
      <c r="L4" s="29">
        <v>0</v>
      </c>
    </row>
    <row r="5" spans="2:12" ht="57.6" x14ac:dyDescent="0.3">
      <c r="B5" s="5" t="s">
        <v>73</v>
      </c>
      <c r="C5" s="5" t="s">
        <v>74</v>
      </c>
      <c r="D5" s="16">
        <v>292</v>
      </c>
      <c r="E5" s="16">
        <v>121.49</v>
      </c>
      <c r="F5" s="16" t="s">
        <v>75</v>
      </c>
      <c r="G5" s="15" t="s">
        <v>55</v>
      </c>
      <c r="H5" s="2">
        <v>1</v>
      </c>
      <c r="I5" s="16">
        <v>200</v>
      </c>
      <c r="J5" s="16"/>
      <c r="K5" s="17" t="s">
        <v>105</v>
      </c>
      <c r="L5" s="17">
        <v>0</v>
      </c>
    </row>
    <row r="6" spans="2:12" ht="57.6" x14ac:dyDescent="0.3">
      <c r="B6" s="5" t="s">
        <v>76</v>
      </c>
      <c r="C6" s="5" t="s">
        <v>77</v>
      </c>
      <c r="D6" s="16">
        <v>227</v>
      </c>
      <c r="E6" s="16">
        <v>77.959999999999994</v>
      </c>
      <c r="F6" s="16" t="s">
        <v>78</v>
      </c>
      <c r="G6" s="15" t="s">
        <v>79</v>
      </c>
      <c r="H6" s="2">
        <v>1</v>
      </c>
      <c r="I6" s="16">
        <v>170</v>
      </c>
      <c r="J6" s="16"/>
      <c r="K6" s="17" t="s">
        <v>105</v>
      </c>
      <c r="L6" s="17">
        <v>0</v>
      </c>
    </row>
    <row r="7" spans="2:12" ht="57.6" x14ac:dyDescent="0.3">
      <c r="B7" s="5" t="s">
        <v>80</v>
      </c>
      <c r="C7" s="5" t="s">
        <v>100</v>
      </c>
      <c r="D7" s="16">
        <v>308</v>
      </c>
      <c r="E7" s="16">
        <v>126.55</v>
      </c>
      <c r="F7" s="16" t="s">
        <v>81</v>
      </c>
      <c r="G7" s="15" t="s">
        <v>55</v>
      </c>
      <c r="H7" s="2">
        <v>1</v>
      </c>
      <c r="I7" s="16">
        <v>220</v>
      </c>
      <c r="J7" s="16"/>
      <c r="K7" s="17" t="s">
        <v>105</v>
      </c>
      <c r="L7" s="17">
        <v>0</v>
      </c>
    </row>
    <row r="8" spans="2:12" s="30" customFormat="1" ht="57.6" hidden="1" x14ac:dyDescent="0.3">
      <c r="B8" s="25" t="s">
        <v>83</v>
      </c>
      <c r="C8" s="25" t="s">
        <v>100</v>
      </c>
      <c r="D8" s="26">
        <v>304</v>
      </c>
      <c r="E8" s="26"/>
      <c r="F8" s="26" t="s">
        <v>54</v>
      </c>
      <c r="G8" s="27" t="s">
        <v>82</v>
      </c>
      <c r="H8" s="28">
        <v>1</v>
      </c>
      <c r="I8" s="26">
        <v>210</v>
      </c>
      <c r="J8" s="26"/>
      <c r="K8" s="17" t="s">
        <v>105</v>
      </c>
      <c r="L8" s="29">
        <v>0</v>
      </c>
    </row>
    <row r="9" spans="2:12" ht="57.6" x14ac:dyDescent="0.3">
      <c r="B9" s="5" t="s">
        <v>92</v>
      </c>
      <c r="C9" s="5" t="s">
        <v>100</v>
      </c>
      <c r="D9" s="56">
        <v>291</v>
      </c>
      <c r="E9" s="56">
        <v>115.4</v>
      </c>
      <c r="F9" s="56" t="s">
        <v>93</v>
      </c>
      <c r="G9" s="59" t="s">
        <v>94</v>
      </c>
      <c r="H9" s="2">
        <v>1</v>
      </c>
      <c r="I9" s="56">
        <v>200</v>
      </c>
      <c r="J9" s="56"/>
      <c r="K9" s="58" t="s">
        <v>95</v>
      </c>
      <c r="L9" s="58">
        <v>0</v>
      </c>
    </row>
    <row r="10" spans="2:12" ht="57.6" x14ac:dyDescent="0.3">
      <c r="B10" s="5" t="s">
        <v>92</v>
      </c>
      <c r="C10" s="5" t="s">
        <v>96</v>
      </c>
      <c r="D10" s="16">
        <v>482</v>
      </c>
      <c r="E10" s="16">
        <v>191.08</v>
      </c>
      <c r="F10" s="16" t="s">
        <v>99</v>
      </c>
      <c r="G10" s="15" t="s">
        <v>97</v>
      </c>
      <c r="H10" s="2">
        <v>1</v>
      </c>
      <c r="I10" s="16">
        <v>200</v>
      </c>
      <c r="J10" s="16"/>
      <c r="K10" s="17" t="s">
        <v>98</v>
      </c>
      <c r="L10" s="17">
        <v>0</v>
      </c>
    </row>
    <row r="11" spans="2:12" s="60" customFormat="1" ht="43.2" x14ac:dyDescent="0.3">
      <c r="B11" s="18" t="s">
        <v>101</v>
      </c>
      <c r="C11" s="18" t="s">
        <v>102</v>
      </c>
      <c r="D11" s="19">
        <v>426</v>
      </c>
      <c r="E11" s="19">
        <v>211.43</v>
      </c>
      <c r="F11" s="19" t="s">
        <v>54</v>
      </c>
      <c r="G11" s="20" t="s">
        <v>103</v>
      </c>
      <c r="H11" s="21">
        <v>1</v>
      </c>
      <c r="I11" s="19">
        <v>320</v>
      </c>
      <c r="J11" s="19"/>
      <c r="K11" s="22" t="s">
        <v>104</v>
      </c>
      <c r="L11" s="22">
        <v>1</v>
      </c>
    </row>
    <row r="12" spans="2:12" ht="43.2" x14ac:dyDescent="0.3">
      <c r="B12" s="5" t="s">
        <v>176</v>
      </c>
      <c r="C12" s="5" t="s">
        <v>177</v>
      </c>
      <c r="D12" s="56">
        <v>291</v>
      </c>
      <c r="E12" s="56">
        <v>119.01</v>
      </c>
      <c r="F12" s="56" t="s">
        <v>99</v>
      </c>
      <c r="G12" s="59" t="s">
        <v>178</v>
      </c>
      <c r="H12" s="5">
        <v>1</v>
      </c>
      <c r="I12" s="56">
        <v>200</v>
      </c>
      <c r="J12" s="56"/>
      <c r="K12" s="56" t="s">
        <v>104</v>
      </c>
      <c r="L12" s="58">
        <v>0</v>
      </c>
    </row>
    <row r="13" spans="2:12" ht="43.2" x14ac:dyDescent="0.3">
      <c r="B13" s="5" t="s">
        <v>179</v>
      </c>
      <c r="C13" s="5" t="s">
        <v>177</v>
      </c>
      <c r="D13" s="56">
        <v>275</v>
      </c>
      <c r="E13" s="56">
        <v>107.73</v>
      </c>
      <c r="F13" s="56" t="s">
        <v>99</v>
      </c>
      <c r="G13" s="59" t="s">
        <v>178</v>
      </c>
      <c r="H13" s="5">
        <v>1</v>
      </c>
      <c r="I13" s="56">
        <v>125</v>
      </c>
      <c r="J13" s="56"/>
      <c r="K13" s="56" t="s">
        <v>98</v>
      </c>
      <c r="L13" s="58">
        <v>0</v>
      </c>
    </row>
    <row r="14" spans="2:12" ht="57.6" x14ac:dyDescent="0.3">
      <c r="B14" s="5" t="s">
        <v>180</v>
      </c>
      <c r="C14" s="5" t="s">
        <v>177</v>
      </c>
      <c r="D14" s="56">
        <v>176</v>
      </c>
      <c r="E14" s="56">
        <v>94.14</v>
      </c>
      <c r="F14" s="56" t="s">
        <v>99</v>
      </c>
      <c r="G14" s="59" t="s">
        <v>182</v>
      </c>
      <c r="H14" s="5">
        <v>1</v>
      </c>
      <c r="I14" s="56">
        <v>115</v>
      </c>
      <c r="J14" s="56"/>
      <c r="K14" s="56" t="s">
        <v>181</v>
      </c>
      <c r="L14" s="58">
        <v>0</v>
      </c>
    </row>
  </sheetData>
  <conditionalFormatting sqref="L3:L14">
    <cfRule type="containsText" dxfId="24" priority="1" operator="containsText" text="Cadena">
      <formula>NOT(ISERROR(SEARCH("Cadena",L3)))</formula>
    </cfRule>
    <cfRule type="containsText" dxfId="23" priority="2" operator="containsText" text="Zinc">
      <formula>NOT(ISERROR(SEARCH("Zinc",L3)))</formula>
    </cfRule>
    <cfRule type="containsText" dxfId="22" priority="3" operator="containsText" text="Acero">
      <formula>NOT(ISERROR(SEARCH("Acero",L3)))</formula>
    </cfRule>
    <cfRule type="containsText" dxfId="21" priority="4" operator="containsText" text="Pinza">
      <formula>NOT(ISERROR(SEARCH("Pinza",L3)))</formula>
    </cfRule>
    <cfRule type="containsText" dxfId="20" priority="5" operator="containsText" text="Collar">
      <formula>NOT(ISERROR(SEARCH("Collar",L3)))</formula>
    </cfRule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{1DE6783F-2E51-45DB-8C77-F960C6BCB64A}</x14:id>
        </ext>
      </extLst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DE6783F-2E51-45DB-8C77-F960C6BCB6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L3:L14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1665B-CB83-4AE2-AF0E-EBB15377B01E}">
  <dimension ref="B2:D8"/>
  <sheetViews>
    <sheetView tabSelected="1" workbookViewId="0">
      <selection activeCell="C22" sqref="C22"/>
    </sheetView>
  </sheetViews>
  <sheetFormatPr baseColWidth="10" defaultRowHeight="14.4" x14ac:dyDescent="0.3"/>
  <cols>
    <col min="3" max="3" width="23.44140625" customWidth="1"/>
  </cols>
  <sheetData>
    <row r="2" spans="2:4" x14ac:dyDescent="0.3">
      <c r="B2" t="s">
        <v>203</v>
      </c>
      <c r="D2" t="s">
        <v>211</v>
      </c>
    </row>
    <row r="3" spans="2:4" ht="28.8" x14ac:dyDescent="0.3">
      <c r="B3" t="s">
        <v>204</v>
      </c>
      <c r="C3" s="14" t="s">
        <v>205</v>
      </c>
      <c r="D3" t="s">
        <v>212</v>
      </c>
    </row>
    <row r="4" spans="2:4" ht="43.2" x14ac:dyDescent="0.3">
      <c r="B4" t="s">
        <v>207</v>
      </c>
      <c r="C4" s="14" t="s">
        <v>206</v>
      </c>
      <c r="D4" t="s">
        <v>214</v>
      </c>
    </row>
    <row r="5" spans="2:4" x14ac:dyDescent="0.3">
      <c r="B5" t="s">
        <v>208</v>
      </c>
      <c r="C5" t="s">
        <v>209</v>
      </c>
    </row>
    <row r="6" spans="2:4" x14ac:dyDescent="0.3">
      <c r="B6" t="s">
        <v>210</v>
      </c>
      <c r="C6" t="s">
        <v>213</v>
      </c>
    </row>
    <row r="8" spans="2:4" x14ac:dyDescent="0.3">
      <c r="C8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PULSERAS</vt:lpstr>
      <vt:lpstr>PINZAS</vt:lpstr>
      <vt:lpstr>ARETES</vt:lpstr>
      <vt:lpstr>COLLARES</vt:lpstr>
      <vt:lpstr>ROPA MUJER</vt:lpstr>
      <vt:lpstr>ROPA HOMBRE</vt:lpstr>
      <vt:lpstr>Encargos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Cano</dc:creator>
  <cp:lastModifiedBy>Mariana Cano</cp:lastModifiedBy>
  <dcterms:created xsi:type="dcterms:W3CDTF">2026-03-04T21:35:08Z</dcterms:created>
  <dcterms:modified xsi:type="dcterms:W3CDTF">2026-06-22T03:21:55Z</dcterms:modified>
</cp:coreProperties>
</file>